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hidePivotFieldList="1"/>
  <mc:AlternateContent xmlns:mc="http://schemas.openxmlformats.org/markup-compatibility/2006">
    <mc:Choice Requires="x15">
      <x15ac:absPath xmlns:x15ac="http://schemas.microsoft.com/office/spreadsheetml/2010/11/ac" url="https://d.docs.live.net/95972a4c0898a4ff/Desktop/"/>
    </mc:Choice>
  </mc:AlternateContent>
  <xr:revisionPtr revIDLastSave="0" documentId="8_{D88BE774-721F-48C3-AEBB-11196CE3E7EB}" xr6:coauthVersionLast="36" xr6:coauthVersionMax="36" xr10:uidLastSave="{00000000-0000-0000-0000-000000000000}"/>
  <bookViews>
    <workbookView xWindow="-110" yWindow="-110" windowWidth="30940" windowHeight="16780" xr2:uid="{346724B3-1C49-40AE-AA36-C77CF5D6DD09}"/>
  </bookViews>
  <sheets>
    <sheet name="Main Dashboard" sheetId="6" r:id="rId1"/>
    <sheet name="Pivots" sheetId="5" r:id="rId2"/>
    <sheet name="Sheet3" sheetId="7" r:id="rId3"/>
    <sheet name="Data" sheetId="1" r:id="rId4"/>
    <sheet name="Questions &amp; KPIs" sheetId="2" r:id="rId5"/>
    <sheet name="Logo &amp; Colors" sheetId="4" r:id="rId6"/>
  </sheets>
  <definedNames>
    <definedName name="_xlchart.v5.0" hidden="1">Pivots!$H$109:$I$109</definedName>
    <definedName name="_xlchart.v5.1" hidden="1">Pivots!$H$110:$I$116</definedName>
    <definedName name="_xlchart.v5.2" hidden="1">Pivots!$J$109</definedName>
    <definedName name="_xlchart.v5.3" hidden="1">Pivots!$J$110:$J$116</definedName>
    <definedName name="Slicer_Customer_Gender">#N/A</definedName>
    <definedName name="Slicer_Order_Mod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L4" i="7" l="1"/>
  <c r="M4" i="7"/>
  <c r="N5" i="7"/>
  <c r="K5" i="7"/>
  <c r="L5" i="7"/>
  <c r="M5" i="7"/>
  <c r="N6" i="7"/>
  <c r="K6" i="7"/>
  <c r="L6" i="7"/>
  <c r="M6" i="7"/>
  <c r="N7" i="7"/>
  <c r="K7" i="7"/>
  <c r="L7" i="7"/>
  <c r="M7" i="7"/>
  <c r="N8" i="7"/>
  <c r="K8" i="7"/>
  <c r="L8" i="7"/>
  <c r="M8" i="7"/>
  <c r="N9" i="7"/>
  <c r="K9" i="7"/>
  <c r="L9" i="7"/>
  <c r="M9" i="7"/>
  <c r="J6" i="7"/>
  <c r="J7" i="7"/>
  <c r="J8" i="7"/>
  <c r="J9" i="7"/>
  <c r="J5" i="7"/>
  <c r="L3" i="5"/>
  <c r="K3" i="5"/>
  <c r="J3" i="5"/>
  <c r="M3" i="5"/>
  <c r="I3" i="5"/>
  <c r="H3" i="5"/>
  <c r="N2401" i="1" l="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O2" i="1"/>
</calcChain>
</file>

<file path=xl/sharedStrings.xml><?xml version="1.0" encoding="utf-8"?>
<sst xmlns="http://schemas.openxmlformats.org/spreadsheetml/2006/main" count="14529" uniqueCount="2553">
  <si>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</si>
  <si>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</si>
  <si>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</si>
  <si>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</si>
  <si>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</si>
  <si>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</si>
  <si>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</si>
  <si>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</si>
  <si>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</si>
  <si>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</si>
  <si>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</si>
  <si>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</si>
  <si>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</si>
  <si>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</si>
  <si>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</si>
  <si>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</si>
  <si>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</si>
  <si>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</si>
  <si>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</si>
  <si>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</si>
  <si>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</si>
  <si>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</si>
  <si>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</si>
  <si>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</si>
  <si>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</si>
  <si>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</si>
  <si>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</si>
  <si>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</si>
  <si>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</si>
  <si>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</si>
  <si>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</si>
  <si>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</si>
  <si>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</si>
  <si>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</si>
  <si>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</si>
  <si>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</si>
  <si>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</si>
  <si>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</si>
  <si>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</si>
  <si>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</si>
  <si>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</si>
  <si>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</si>
  <si>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</si>
  <si>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</si>
  <si>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</si>
  <si>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</si>
  <si>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</si>
  <si>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</si>
  <si>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</si>
  <si>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</si>
  <si>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</si>
  <si>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</si>
  <si>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</si>
  <si>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</si>
  <si>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</si>
  <si>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</si>
  <si>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</si>
  <si>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</si>
  <si>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</si>
  <si>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</si>
  <si>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</si>
  <si>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</si>
  <si>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</si>
  <si>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</si>
  <si>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</si>
  <si>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</si>
  <si>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</si>
  <si>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</si>
  <si>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</si>
  <si>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</si>
  <si>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</si>
  <si>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</si>
  <si>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</si>
  <si>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</si>
  <si>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</si>
  <si>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</si>
  <si>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</si>
  <si>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</si>
  <si>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</si>
  <si>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</si>
  <si>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</si>
  <si>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</si>
  <si>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</si>
  <si>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</si>
  <si>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</si>
  <si>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</si>
  <si>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</si>
  <si>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</si>
  <si>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</si>
  <si>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</si>
  <si>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</si>
  <si>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</si>
  <si>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</si>
  <si>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</si>
  <si>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</si>
  <si>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</si>
  <si>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</si>
  <si>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</si>
  <si>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</si>
  <si>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</si>
  <si>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</si>
  <si>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</si>
  <si>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</si>
  <si>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</si>
  <si>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</si>
  <si>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</si>
  <si>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</si>
  <si>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</si>
  <si>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</si>
  <si>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</si>
  <si>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</si>
  <si>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</si>
  <si>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</si>
  <si>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</si>
  <si>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</si>
  <si>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</si>
  <si>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</si>
  <si>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</si>
  <si>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</si>
  <si>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</si>
  <si>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</si>
  <si>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</si>
  <si>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</si>
  <si>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</si>
  <si>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</si>
  <si>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</si>
  <si>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</si>
  <si>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</si>
  <si>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</si>
  <si>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</si>
  <si>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</si>
  <si>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</si>
  <si>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</si>
  <si>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</si>
  <si>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</si>
  <si>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</si>
  <si>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</si>
  <si>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</si>
  <si>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</si>
  <si>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</si>
  <si>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</si>
  <si>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</si>
  <si>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</si>
  <si>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</si>
  <si>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</si>
  <si>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</si>
  <si>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</si>
  <si>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</si>
  <si>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</si>
  <si>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</si>
  <si>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</si>
  <si>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</si>
  <si>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</si>
  <si>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</si>
  <si>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</si>
  <si>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</si>
  <si>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</si>
  <si>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</si>
  <si>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</si>
  <si>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</si>
  <si>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</si>
  <si>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</si>
  <si>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</si>
  <si>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</si>
  <si>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</si>
  <si>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</si>
  <si>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</si>
  <si>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</si>
  <si>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</si>
  <si>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</si>
  <si>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</si>
  <si>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</si>
  <si>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</si>
  <si>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</si>
  <si>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</si>
  <si>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</si>
  <si>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</si>
  <si>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</si>
  <si>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</si>
  <si>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</si>
  <si>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</si>
  <si>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</si>
  <si>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</si>
  <si>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</si>
  <si>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</si>
  <si>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</si>
  <si>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</si>
  <si>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</si>
  <si>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</si>
  <si>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</si>
  <si>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</si>
  <si>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</si>
  <si>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</si>
  <si>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</si>
  <si>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</si>
  <si>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</si>
  <si>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</si>
  <si>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</si>
  <si>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</si>
  <si>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</si>
  <si>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</si>
  <si>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</si>
  <si>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</si>
  <si>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</si>
  <si>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</si>
  <si>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</si>
  <si>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</si>
  <si>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</si>
  <si>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</si>
  <si>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</si>
  <si>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</si>
  <si>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</si>
  <si>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</si>
  <si>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</si>
  <si>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</si>
  <si>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</si>
  <si>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</si>
  <si>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</si>
  <si>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</si>
  <si>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</si>
  <si>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</si>
  <si>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</si>
  <si>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</si>
  <si>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</si>
  <si>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</si>
  <si>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</si>
  <si>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</si>
  <si>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</si>
  <si>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</si>
  <si>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</si>
  <si>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</si>
  <si>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</si>
  <si>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</si>
  <si>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</si>
  <si>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</si>
  <si>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</si>
  <si>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</si>
  <si>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</si>
  <si>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</si>
  <si>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</si>
  <si>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</si>
  <si>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</si>
  <si>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</si>
  <si>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</si>
  <si>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</si>
  <si>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</si>
  <si>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</si>
  <si>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</si>
  <si>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</si>
  <si>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</si>
  <si>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</si>
  <si>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</si>
  <si>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</si>
  <si>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</si>
  <si>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</si>
  <si>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</si>
  <si>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</si>
  <si>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</si>
  <si>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</si>
  <si>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</si>
  <si>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</si>
  <si>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</si>
  <si>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</si>
  <si>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</si>
  <si>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</si>
  <si>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</si>
  <si>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</si>
  <si>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</si>
  <si>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</si>
  <si>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</si>
  <si>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</si>
  <si>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</si>
  <si>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</si>
  <si>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</si>
  <si>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</si>
  <si>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</si>
  <si>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</si>
  <si>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</si>
  <si>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</si>
  <si>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</si>
  <si>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</si>
  <si>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</si>
  <si>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</si>
  <si>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</si>
  <si>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</si>
  <si>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</si>
  <si>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</si>
  <si>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</si>
  <si>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</si>
  <si>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</si>
  <si>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</si>
  <si>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</si>
  <si>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</si>
  <si>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</si>
  <si>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</si>
  <si>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</si>
  <si>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</si>
  <si>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</si>
  <si>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</si>
  <si>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</si>
  <si>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</si>
  <si>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</si>
  <si>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</si>
  <si>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</si>
  <si>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</si>
  <si>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</si>
  <si>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</si>
  <si>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</si>
  <si>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</si>
  <si>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</si>
  <si>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</si>
  <si>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</si>
  <si>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</si>
  <si>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</si>
  <si>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</si>
  <si>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</si>
  <si>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</si>
  <si>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</si>
  <si>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</si>
  <si>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</si>
  <si>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</si>
  <si>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</si>
  <si>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</si>
  <si>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</si>
  <si>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</si>
  <si>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</si>
  <si>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</si>
  <si>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</si>
  <si>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</si>
  <si>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</si>
  <si>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</si>
  <si>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</si>
  <si>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</si>
  <si>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</si>
  <si>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</si>
  <si>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</si>
  <si>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</si>
  <si>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</si>
  <si>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</si>
  <si>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</si>
  <si>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</si>
  <si>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</si>
  <si>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</si>
  <si>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</si>
  <si>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</si>
  <si>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</si>
  <si>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</si>
  <si>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</si>
  <si>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</si>
  <si>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</si>
  <si>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</si>
  <si>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</si>
  <si>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</si>
  <si>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</si>
  <si>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</si>
  <si>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</si>
  <si>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</si>
  <si>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</si>
  <si>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</si>
  <si>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</si>
  <si>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</si>
  <si>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</si>
  <si>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</si>
  <si>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</si>
  <si>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</si>
  <si>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</si>
  <si>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</si>
  <si>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</si>
  <si>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</si>
  <si>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</si>
  <si>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</si>
  <si>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</si>
  <si>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</si>
  <si>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</si>
  <si>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</si>
  <si>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</si>
  <si>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</si>
  <si>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</si>
  <si>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</si>
  <si>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</si>
  <si>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</si>
  <si>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</si>
  <si>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</si>
  <si>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</si>
  <si>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</si>
  <si>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</si>
  <si>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</si>
  <si>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</si>
  <si>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</si>
  <si>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</si>
  <si>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</si>
  <si>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</si>
  <si>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</si>
  <si>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</si>
  <si>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</si>
  <si>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</si>
  <si>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</si>
  <si>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</si>
  <si>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</si>
  <si>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</si>
  <si>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</si>
  <si>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</si>
  <si>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</si>
  <si>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</si>
  <si>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</si>
  <si>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</si>
  <si>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</si>
  <si>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</si>
  <si>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</si>
  <si>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</si>
  <si>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</si>
  <si>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</si>
  <si>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</si>
  <si>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</si>
  <si>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</si>
  <si>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</si>
  <si>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</si>
  <si>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</si>
  <si>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</si>
  <si>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</si>
  <si>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</si>
  <si>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</si>
  <si>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</si>
  <si>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</si>
  <si>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</si>
  <si>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</si>
  <si>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</si>
  <si>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</si>
  <si>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</si>
  <si>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</si>
  <si>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</si>
  <si>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</si>
  <si>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</si>
  <si>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</si>
  <si>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</si>
  <si>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</si>
  <si>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</si>
  <si>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</si>
  <si>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</si>
  <si>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</si>
  <si>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</si>
  <si>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</si>
  <si>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</si>
  <si>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</si>
  <si>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</si>
  <si>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</si>
  <si>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</si>
  <si>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</si>
  <si>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</si>
  <si>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</si>
  <si>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</si>
  <si>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</si>
  <si>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</si>
  <si>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</si>
  <si>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</si>
  <si>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</si>
  <si>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</si>
  <si>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</si>
  <si>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</si>
  <si>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</si>
  <si>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</si>
  <si>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</si>
  <si>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</si>
  <si>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</si>
  <si>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</si>
  <si>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</si>
  <si>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</si>
  <si>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</si>
  <si>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</si>
  <si>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</si>
  <si>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</si>
  <si>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</si>
  <si>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</si>
  <si>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</si>
  <si>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</si>
  <si>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</si>
  <si>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</si>
  <si>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</si>
  <si>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</si>
  <si>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</si>
  <si>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</si>
  <si>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</si>
  <si>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</si>
  <si>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</si>
  <si>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</si>
  <si>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</si>
  <si>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</si>
  <si>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</si>
  <si>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</si>
  <si>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</si>
  <si>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</si>
  <si>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</si>
  <si>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</si>
  <si>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</si>
  <si>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</si>
  <si>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</si>
  <si>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</si>
  <si>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</si>
  <si>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</si>
  <si>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</si>
  <si>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</si>
  <si>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</si>
  <si>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</si>
  <si>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</si>
  <si>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</si>
  <si>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</si>
  <si>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</si>
  <si>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</si>
  <si>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</si>
  <si>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</si>
  <si>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</si>
  <si>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</si>
  <si>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</si>
  <si>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</si>
  <si>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</si>
  <si>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</si>
  <si>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</si>
  <si>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</si>
  <si>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</si>
  <si>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</si>
  <si>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</si>
  <si>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</si>
  <si>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</si>
  <si>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</si>
  <si>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</si>
  <si>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</si>
  <si>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</si>
  <si>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</si>
  <si>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</si>
  <si>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</si>
  <si>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</si>
  <si>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</si>
  <si>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</si>
  <si>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</si>
  <si>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</si>
  <si>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</si>
  <si>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</si>
  <si>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</si>
  <si>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</si>
  <si>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</si>
  <si>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</si>
  <si>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</si>
  <si>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</si>
  <si>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</si>
  <si>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</si>
  <si>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</si>
  <si>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</si>
  <si>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</si>
  <si>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</si>
  <si>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</si>
  <si>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</si>
  <si>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</si>
  <si>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</si>
  <si>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</si>
  <si>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</si>
  <si>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</si>
  <si>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</si>
  <si>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</si>
  <si>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</si>
  <si>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</si>
  <si>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</si>
  <si>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</si>
  <si>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</si>
  <si>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</si>
  <si>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</si>
  <si>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</si>
  <si>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</si>
  <si>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</si>
  <si>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</si>
  <si>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</si>
  <si>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</si>
  <si>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</si>
  <si>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</si>
  <si>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</si>
  <si>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</si>
  <si>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</si>
  <si>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</si>
  <si>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</si>
  <si>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</si>
  <si>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</si>
  <si>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</si>
  <si>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</si>
  <si>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</si>
  <si>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</si>
  <si>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</si>
  <si>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</si>
  <si>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</si>
  <si>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</si>
  <si>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</si>
  <si>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</si>
  <si>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</si>
  <si>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</si>
  <si>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</si>
  <si>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</si>
  <si>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</si>
  <si>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</si>
  <si>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</si>
  <si>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</si>
  <si>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</si>
  <si>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</si>
  <si>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</si>
  <si>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</si>
  <si>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</si>
  <si>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</si>
  <si>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</si>
  <si>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</si>
  <si>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</si>
  <si>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</si>
  <si>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</si>
  <si>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</si>
  <si>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</si>
  <si>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</si>
  <si>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</si>
  <si>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</si>
  <si>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</si>
  <si>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</si>
  <si>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</si>
  <si>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</si>
  <si>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</si>
  <si>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</si>
  <si>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</si>
  <si>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</si>
  <si>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</si>
  <si>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</si>
  <si>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</si>
  <si>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</si>
  <si>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</si>
  <si>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</si>
  <si>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</si>
  <si>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</si>
  <si>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</si>
  <si>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</si>
  <si>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</si>
  <si>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</si>
  <si>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</si>
  <si>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</si>
  <si>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</si>
  <si>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</si>
  <si>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</si>
  <si>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</si>
  <si>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</si>
  <si>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</si>
  <si>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</si>
  <si>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</si>
  <si>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</si>
  <si>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</si>
  <si>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</si>
  <si>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</si>
  <si>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</si>
  <si>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</si>
  <si>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</si>
  <si>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</si>
  <si>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</si>
  <si>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</si>
  <si>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</si>
  <si>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</si>
  <si>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</si>
  <si>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</si>
  <si>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</si>
  <si>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</si>
  <si>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</si>
  <si>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</si>
  <si>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</si>
  <si>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</si>
  <si>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</si>
  <si>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</si>
  <si>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</si>
  <si>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</si>
  <si>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</si>
  <si>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</si>
  <si>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</si>
  <si>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</si>
  <si>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</si>
  <si>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</si>
  <si>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</si>
  <si>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</si>
  <si>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</si>
  <si>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</si>
  <si>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</si>
  <si>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</si>
  <si>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</si>
  <si>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</si>
  <si>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</si>
  <si>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</si>
  <si>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</si>
  <si>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</si>
  <si>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</si>
  <si>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</si>
  <si>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</si>
  <si>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</si>
  <si>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</si>
  <si>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</si>
  <si>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</si>
  <si>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</si>
  <si>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</si>
  <si>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</si>
  <si>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</si>
  <si>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</si>
  <si>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</si>
  <si>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</si>
  <si>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</si>
  <si>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</si>
  <si>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</si>
  <si>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</si>
  <si>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</si>
  <si>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</si>
  <si>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</si>
  <si>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</si>
  <si>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</si>
  <si>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</si>
  <si>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</si>
  <si>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</si>
  <si>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</si>
  <si>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</si>
  <si>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</si>
  <si>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</si>
  <si>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</si>
  <si>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</si>
  <si>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</si>
  <si>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</si>
  <si>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</si>
  <si>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</si>
  <si>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</si>
  <si>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</si>
  <si>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</si>
  <si>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</si>
  <si>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</si>
  <si>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</si>
  <si>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</si>
  <si>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</si>
  <si>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</si>
  <si>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</si>
  <si>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</si>
  <si>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</si>
  <si>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</si>
  <si>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</si>
  <si>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</si>
  <si>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</si>
  <si>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</si>
  <si>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</si>
  <si>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</si>
  <si>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</si>
  <si>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</si>
  <si>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</si>
  <si>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</si>
  <si>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</si>
  <si>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</si>
  <si>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</si>
  <si>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</si>
  <si>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</si>
  <si>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</si>
  <si>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</si>
  <si>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</si>
  <si>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</si>
  <si>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</si>
  <si>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</si>
  <si>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</si>
  <si>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</si>
  <si>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</si>
  <si>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</si>
  <si>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</si>
  <si>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</si>
  <si>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</si>
  <si>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</si>
  <si>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</si>
  <si>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</si>
  <si>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</si>
  <si>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</si>
  <si>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</si>
  <si>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</si>
  <si>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</si>
  <si>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</si>
  <si>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</si>
  <si>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</si>
  <si>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</si>
  <si>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</si>
  <si>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</si>
  <si>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</si>
  <si>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</si>
  <si>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</si>
  <si>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</si>
  <si>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</si>
  <si>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</si>
  <si>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</si>
  <si>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</si>
  <si>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</si>
  <si>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</si>
  <si>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</si>
  <si>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</si>
  <si>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</si>
  <si>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</si>
  <si>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</si>
  <si>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</si>
  <si>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</si>
  <si>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</si>
  <si>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</si>
  <si>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</si>
  <si>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</si>
  <si>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</si>
  <si>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</si>
  <si>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</si>
  <si>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</si>
  <si>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</si>
  <si>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</si>
  <si>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</si>
  <si>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</si>
  <si>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</si>
  <si>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</si>
  <si>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</si>
  <si>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</si>
  <si>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</si>
  <si>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</si>
  <si>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</si>
  <si>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</si>
  <si>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</si>
  <si>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</si>
  <si>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</si>
  <si>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</si>
  <si>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</si>
  <si>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</si>
  <si>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</si>
  <si>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</si>
  <si>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</si>
  <si>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</si>
  <si>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</si>
  <si>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</si>
  <si>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</si>
  <si>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</si>
  <si>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</si>
  <si>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</si>
  <si>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</si>
  <si>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</si>
  <si>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</si>
  <si>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</si>
  <si>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</si>
  <si>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</si>
  <si>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</si>
  <si>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</si>
  <si>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</si>
  <si>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</si>
  <si>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</si>
  <si>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</si>
  <si>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</si>
  <si>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</si>
  <si>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</si>
  <si>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</si>
  <si>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</si>
  <si>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</si>
  <si>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</si>
  <si>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</si>
  <si>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</si>
  <si>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</si>
  <si>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</si>
  <si>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</si>
  <si>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</si>
  <si>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</si>
  <si>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</si>
  <si>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</si>
  <si>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</si>
  <si>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</si>
  <si>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</si>
  <si>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</si>
  <si>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</si>
  <si>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</si>
  <si>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</si>
  <si>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</si>
  <si>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</si>
  <si>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</si>
  <si>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</si>
  <si>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</si>
  <si>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</si>
  <si>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</si>
  <si>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</si>
  <si>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</si>
  <si>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</si>
  <si>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</si>
  <si>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</si>
  <si>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</si>
  <si>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</si>
  <si>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</si>
  <si>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</si>
  <si>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</si>
  <si>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</si>
  <si>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</si>
  <si>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</si>
  <si>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</si>
  <si>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</si>
  <si>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</si>
  <si>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</si>
  <si>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</si>
  <si>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</si>
  <si>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</si>
  <si>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</si>
  <si>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</si>
  <si>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</si>
  <si>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</si>
  <si>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</si>
  <si>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</si>
  <si>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</si>
  <si>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</si>
  <si>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</si>
  <si>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</si>
  <si>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</si>
  <si>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</si>
  <si>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</si>
  <si>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</si>
  <si>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</si>
  <si>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</si>
  <si>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</si>
  <si>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</si>
  <si>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</si>
  <si>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</si>
  <si>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</si>
  <si>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</si>
  <si>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</si>
  <si>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</si>
  <si>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</si>
  <si>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</si>
  <si>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</si>
  <si>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</si>
  <si>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</si>
  <si>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</si>
  <si>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</si>
  <si>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</si>
  <si>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</si>
  <si>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</si>
  <si>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</si>
  <si>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</si>
  <si>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</si>
  <si>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</si>
  <si>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</si>
  <si>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</si>
  <si>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</si>
  <si>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</si>
  <si>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</si>
  <si>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</si>
  <si>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</si>
  <si>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</si>
  <si>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</si>
  <si>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</si>
  <si>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</si>
  <si>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</si>
  <si>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</si>
  <si>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</si>
  <si>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</si>
  <si>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</si>
  <si>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</si>
  <si>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</si>
  <si>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</si>
  <si>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</si>
  <si>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</si>
  <si>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</si>
  <si>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</si>
  <si>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</si>
  <si>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</si>
  <si>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</si>
  <si>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</si>
  <si>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</si>
  <si>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</si>
  <si>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</si>
  <si>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</si>
  <si>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</si>
  <si>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</si>
  <si>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</si>
  <si>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</si>
  <si>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</si>
  <si>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</si>
  <si>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</si>
  <si>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</si>
  <si>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</si>
  <si>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</si>
  <si>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</si>
  <si>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</si>
  <si>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</si>
  <si>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</si>
  <si>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</si>
  <si>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</si>
  <si>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</si>
  <si>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</si>
  <si>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</si>
  <si>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</si>
  <si>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</si>
  <si>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</si>
  <si>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</si>
  <si>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</si>
  <si>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</si>
  <si>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</si>
  <si>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</si>
  <si>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</si>
  <si>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</si>
  <si>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</si>
  <si>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</si>
  <si>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</si>
  <si>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</si>
  <si>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</si>
  <si>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</si>
  <si>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</si>
  <si>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</si>
  <si>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</si>
  <si>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</si>
  <si>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</si>
  <si>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</si>
  <si>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</si>
  <si>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</si>
  <si>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</si>
  <si>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</si>
  <si>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</si>
  <si>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</si>
  <si>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</si>
  <si>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</si>
  <si>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</si>
  <si>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</si>
  <si>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</si>
  <si>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</si>
  <si>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</si>
  <si>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</si>
  <si>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</si>
  <si>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</si>
  <si>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</si>
  <si>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</si>
  <si>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</si>
  <si>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</si>
  <si>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</si>
  <si>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</si>
  <si>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</si>
  <si>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</si>
  <si>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</si>
  <si>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</si>
  <si>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</si>
  <si>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</si>
  <si>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</si>
  <si>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</si>
  <si>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</si>
  <si>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</si>
  <si>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</si>
  <si>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</si>
  <si>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</si>
  <si>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</si>
  <si>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</si>
  <si>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</si>
  <si>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</si>
  <si>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</si>
  <si>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</si>
  <si>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</si>
  <si>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</si>
  <si>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</si>
  <si>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</si>
  <si>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</si>
  <si>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</si>
  <si>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</si>
  <si>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</si>
  <si>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</si>
  <si>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</si>
  <si>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</si>
  <si>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</si>
  <si>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</si>
  <si>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</si>
  <si>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</si>
  <si>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</si>
  <si>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</si>
  <si>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</si>
  <si>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</si>
  <si>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</si>
  <si>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</si>
  <si>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</si>
  <si>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</si>
  <si>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</si>
  <si>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</si>
  <si>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</si>
  <si>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</si>
  <si>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</si>
  <si>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</si>
  <si>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</si>
  <si>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</si>
  <si>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</si>
  <si>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</si>
  <si>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</si>
  <si>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</si>
  <si>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</si>
  <si>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</si>
  <si>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</si>
  <si>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</si>
  <si>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</si>
  <si>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</si>
  <si>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</si>
  <si>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</si>
  <si>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</si>
  <si>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</si>
  <si>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</si>
  <si>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</si>
  <si>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</si>
  <si>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</si>
  <si>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</si>
  <si>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</si>
  <si>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</si>
  <si>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</si>
  <si>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</si>
  <si>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</si>
  <si>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</si>
  <si>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</si>
  <si>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</si>
  <si>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</si>
  <si>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</si>
  <si>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</si>
  <si>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</si>
  <si>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</si>
  <si>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</si>
  <si>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</si>
  <si>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</si>
  <si>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</si>
  <si>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</si>
  <si>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</si>
  <si>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</si>
  <si>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</si>
  <si>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</si>
  <si>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</si>
  <si>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</si>
  <si>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</si>
  <si>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</si>
  <si>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</si>
  <si>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</si>
  <si>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</si>
  <si>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</si>
  <si>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</si>
  <si>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</si>
  <si>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</si>
  <si>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</si>
  <si>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</si>
  <si>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</si>
  <si>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</si>
  <si>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</si>
  <si>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</si>
  <si>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</si>
  <si>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</si>
  <si>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</si>
  <si>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</si>
  <si>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</si>
  <si>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</si>
  <si>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</si>
  <si>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</si>
  <si>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</si>
  <si>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</si>
  <si>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</si>
  <si>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</si>
  <si>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</si>
  <si>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</si>
  <si>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</si>
  <si>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</si>
  <si>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</si>
  <si>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</si>
  <si>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</si>
  <si>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</si>
  <si>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</si>
  <si>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</si>
  <si>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</si>
  <si>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</si>
  <si>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</si>
  <si>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</si>
  <si>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</si>
  <si>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</si>
  <si>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</si>
  <si>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</si>
  <si>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</si>
  <si>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</si>
  <si>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</si>
  <si>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</si>
  <si>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</si>
  <si>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</si>
  <si>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</si>
  <si>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</si>
  <si>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</si>
  <si>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</si>
  <si>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</si>
  <si>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</si>
  <si>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</si>
  <si>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</si>
  <si>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</si>
  <si>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</si>
  <si>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</si>
  <si>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</si>
  <si>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</si>
  <si>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</si>
  <si>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</si>
  <si>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</si>
  <si>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</si>
  <si>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</si>
  <si>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</si>
  <si>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</si>
  <si>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</si>
  <si>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</si>
  <si>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</si>
  <si>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</si>
  <si>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</si>
  <si>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</si>
  <si>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</si>
  <si>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</si>
  <si>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</si>
  <si>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</si>
  <si>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</si>
  <si>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</si>
  <si>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</si>
  <si>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</si>
  <si>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</si>
  <si>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</si>
  <si>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</si>
  <si>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</si>
  <si>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</si>
  <si>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</si>
  <si>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</si>
  <si>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</si>
  <si>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</si>
  <si>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</si>
  <si>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</si>
  <si>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</si>
  <si>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</si>
  <si>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</si>
  <si>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</si>
  <si>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</si>
  <si>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</si>
  <si>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</si>
  <si>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</si>
  <si>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</si>
  <si>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</si>
  <si>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</si>
  <si>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</si>
  <si>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</si>
  <si>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</si>
  <si>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</si>
  <si>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</si>
  <si>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</si>
  <si>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</si>
  <si>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</si>
  <si>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</si>
  <si>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</si>
  <si>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</si>
  <si>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</si>
  <si>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</si>
  <si>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</si>
  <si>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</si>
  <si>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</si>
  <si>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</si>
  <si>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</si>
  <si>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</si>
  <si>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</si>
  <si>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</si>
  <si>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</si>
  <si>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</si>
  <si>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</si>
  <si>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</si>
  <si>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</si>
  <si>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</si>
  <si>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</si>
  <si>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</si>
  <si>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</si>
  <si>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</si>
  <si>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</si>
  <si>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</si>
  <si>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</si>
  <si>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</si>
  <si>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</si>
  <si>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</si>
  <si>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</si>
  <si>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</si>
  <si>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</si>
  <si>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</si>
  <si>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</si>
  <si>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</si>
  <si>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</si>
  <si>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</si>
  <si>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</si>
  <si>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</si>
  <si>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</si>
  <si>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</si>
  <si>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</si>
  <si>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</si>
  <si>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</si>
  <si>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</si>
  <si>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</si>
  <si>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</si>
  <si>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</si>
  <si>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</si>
  <si>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</si>
  <si>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</si>
  <si>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</si>
  <si>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</si>
  <si>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</si>
  <si>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</si>
  <si>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</si>
  <si>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</si>
  <si>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</si>
  <si>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</si>
  <si>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</si>
  <si>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</si>
  <si>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</si>
  <si>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</si>
  <si>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</si>
  <si>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</si>
  <si>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</si>
  <si>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</si>
  <si>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</si>
  <si>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</si>
  <si>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</si>
  <si>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</si>
  <si>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</si>
  <si>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</si>
  <si>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</si>
  <si>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</si>
  <si>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</si>
  <si>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</si>
  <si>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</si>
  <si>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</si>
  <si>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</si>
  <si>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</si>
  <si>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</si>
  <si>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</si>
  <si>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</si>
  <si>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</si>
  <si>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</si>
  <si>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</si>
  <si>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</si>
  <si>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</si>
  <si>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</si>
  <si>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</si>
  <si>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</si>
  <si>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</si>
  <si>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</si>
  <si>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</si>
  <si>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</si>
  <si>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</si>
  <si>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</si>
  <si>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</si>
  <si>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</si>
  <si>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</si>
  <si>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</si>
  <si>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</si>
  <si>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</si>
  <si>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</si>
  <si>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</si>
  <si>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</si>
  <si>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</si>
  <si>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</si>
  <si>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</si>
  <si>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</si>
  <si>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</si>
  <si>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</si>
  <si>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</si>
  <si>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</si>
  <si>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</si>
  <si>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</si>
  <si>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</si>
  <si>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</si>
  <si>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</si>
  <si>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</si>
  <si>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</si>
  <si>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</si>
  <si>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</si>
  <si>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</si>
  <si>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</si>
  <si>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</si>
  <si>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</si>
  <si>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</si>
  <si>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</si>
  <si>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</si>
  <si>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</si>
  <si>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</si>
  <si>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</si>
  <si>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</si>
  <si>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</si>
  <si>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</si>
  <si>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</si>
  <si>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</si>
  <si>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</si>
  <si>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</si>
  <si>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</si>
  <si>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</si>
  <si>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</si>
  <si>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</si>
  <si>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</si>
  <si>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</si>
  <si>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</si>
  <si>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</si>
  <si>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</si>
  <si>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</si>
  <si>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</si>
  <si>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</si>
  <si>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</si>
  <si>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</si>
  <si>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</si>
  <si>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</si>
  <si>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</si>
  <si>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</si>
  <si>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</si>
  <si>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</si>
  <si>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</si>
  <si>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</si>
  <si>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</si>
  <si>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</si>
  <si>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</si>
  <si>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</si>
  <si>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</si>
  <si>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</si>
  <si>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</si>
  <si>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</si>
  <si>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</si>
  <si>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</si>
  <si>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</si>
  <si>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</si>
  <si>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</si>
  <si>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</si>
  <si>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</si>
  <si>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</si>
  <si>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</si>
  <si>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</si>
  <si>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</si>
  <si>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</si>
  <si>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</si>
  <si>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</si>
  <si>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</si>
  <si>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</si>
  <si>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</si>
  <si>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</si>
  <si>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</si>
  <si>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</si>
  <si>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</si>
  <si>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</si>
  <si>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</si>
  <si>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</si>
  <si>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</si>
  <si>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</si>
  <si>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</si>
  <si>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</si>
  <si>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</si>
  <si>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</si>
  <si>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</si>
  <si>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</si>
  <si>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</si>
  <si>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</si>
  <si>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</si>
  <si>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</si>
  <si>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</si>
  <si>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</si>
  <si>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</si>
  <si>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</si>
  <si>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</si>
  <si>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</si>
  <si>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</si>
  <si>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</si>
  <si>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</si>
  <si>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</si>
  <si>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</si>
  <si>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</si>
  <si>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</si>
  <si>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</si>
  <si>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</si>
  <si>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</si>
  <si>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</si>
  <si>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</si>
  <si>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</si>
  <si>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</si>
  <si>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</si>
  <si>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</si>
  <si>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</si>
  <si>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</si>
  <si>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</si>
  <si>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</si>
  <si>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</si>
  <si>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</si>
  <si>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</si>
  <si>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</si>
  <si>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</si>
  <si>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</si>
  <si>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</si>
  <si>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</si>
  <si>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</si>
  <si>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</si>
  <si>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</si>
  <si>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</si>
  <si>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</si>
  <si>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</si>
  <si>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</si>
  <si>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</si>
  <si>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</si>
  <si>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</si>
  <si>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</si>
  <si>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</si>
  <si>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</si>
  <si>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</si>
  <si>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</si>
  <si>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</si>
  <si>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</si>
  <si>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</si>
  <si>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</si>
  <si>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</si>
  <si>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</si>
  <si>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</si>
  <si>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</si>
  <si>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</si>
  <si>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</si>
  <si>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</si>
  <si>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</si>
  <si>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</si>
  <si>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</si>
  <si>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</si>
  <si>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</si>
  <si>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</si>
  <si>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</si>
  <si>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</si>
  <si>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</si>
  <si>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</si>
  <si>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</si>
  <si>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</si>
  <si>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</si>
  <si>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</si>
  <si>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</si>
  <si>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</si>
  <si>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</si>
  <si>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</si>
  <si>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</si>
  <si>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</si>
  <si>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</si>
  <si>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</si>
  <si>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</si>
  <si>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</si>
  <si>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</si>
  <si>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</si>
  <si>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</si>
  <si>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</si>
  <si>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</si>
  <si>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</si>
  <si>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</si>
  <si>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</si>
  <si>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</si>
  <si>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</si>
  <si>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</si>
  <si>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</si>
  <si>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</si>
  <si>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</si>
  <si>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</si>
  <si>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</si>
  <si>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</si>
  <si>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</si>
  <si>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</si>
  <si>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</si>
  <si>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</si>
  <si>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</si>
  <si>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</si>
  <si>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</si>
  <si>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</si>
  <si>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</si>
  <si>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</si>
  <si>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</si>
  <si>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</si>
  <si>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</si>
  <si>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</si>
  <si>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</si>
  <si>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</si>
  <si>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</si>
  <si>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</si>
  <si>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</si>
  <si>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</si>
  <si>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</si>
  <si>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</si>
  <si>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</si>
  <si>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</si>
  <si>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</si>
  <si>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</si>
  <si>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</si>
  <si>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</si>
  <si>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</si>
  <si>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</si>
  <si>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</si>
  <si>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</si>
  <si>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</si>
  <si>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</si>
  <si>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</si>
  <si>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</si>
  <si>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</si>
  <si>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</si>
  <si>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</si>
  <si>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</si>
  <si>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</si>
  <si>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</si>
  <si>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</si>
  <si>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</si>
  <si>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</si>
  <si>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</si>
  <si>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</si>
  <si>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</si>
  <si>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</si>
  <si>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</si>
  <si>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</si>
  <si>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</si>
  <si>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</si>
  <si>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</si>
  <si>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</si>
  <si>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</si>
  <si>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</si>
  <si>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</si>
  <si>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</si>
  <si>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</si>
  <si>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</si>
  <si>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</si>
  <si>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</si>
  <si>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</si>
  <si>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</si>
  <si>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</si>
  <si>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</si>
  <si>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</si>
  <si>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</si>
  <si>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</si>
  <si>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</si>
  <si>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</si>
  <si>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</si>
  <si>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</si>
  <si>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</si>
  <si>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</si>
  <si>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</si>
  <si>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</si>
  <si>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</si>
  <si>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</si>
  <si>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</si>
  <si>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</si>
  <si>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</si>
  <si>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</si>
  <si>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</si>
  <si>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</si>
  <si>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</si>
  <si>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</si>
  <si>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</si>
  <si>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</si>
  <si>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</si>
  <si>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</si>
  <si>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</si>
  <si>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</si>
  <si>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</si>
  <si>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</si>
  <si>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</si>
  <si>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</si>
  <si>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</si>
  <si>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</si>
  <si>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</si>
  <si>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</si>
  <si>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</si>
  <si>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</si>
  <si>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</si>
  <si>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</si>
  <si>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</si>
  <si>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</si>
  <si>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</si>
  <si>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</si>
  <si>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</si>
  <si>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</si>
  <si>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</si>
  <si>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</si>
  <si>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</si>
  <si>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</si>
  <si>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</si>
  <si>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</si>
  <si>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</si>
  <si>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</si>
  <si>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</si>
  <si>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</si>
  <si>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</si>
  <si>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</si>
  <si>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</si>
  <si>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</si>
  <si>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</si>
  <si>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</si>
  <si>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</si>
  <si>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</si>
  <si>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</si>
  <si>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</si>
  <si>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</si>
  <si>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</si>
  <si>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</si>
  <si>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</si>
  <si>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</si>
  <si>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</si>
  <si>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</si>
  <si>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</si>
  <si>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</si>
  <si>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</si>
  <si>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</si>
  <si>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</si>
  <si>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</si>
  <si>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</si>
  <si>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</si>
  <si>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</si>
  <si>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</si>
  <si>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</si>
  <si>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</si>
  <si>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</si>
  <si>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</si>
  <si>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</si>
  <si>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</si>
  <si>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</si>
  <si>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</si>
  <si>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</si>
  <si>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</si>
  <si>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</si>
  <si>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</si>
  <si>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</si>
  <si>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</si>
  <si>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</si>
  <si>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</si>
  <si>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</si>
  <si>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</si>
  <si>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</si>
  <si>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</si>
  <si>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</si>
  <si>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</si>
  <si>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</si>
  <si>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</si>
  <si>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</si>
  <si>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</si>
  <si>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</si>
  <si>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</si>
  <si>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</si>
  <si>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</si>
  <si>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</si>
  <si>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</si>
  <si>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</si>
  <si>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</si>
  <si>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</si>
  <si>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</si>
  <si>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</si>
  <si>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</si>
  <si>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</si>
  <si>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</si>
  <si>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</si>
  <si>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</si>
  <si>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</si>
  <si>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</si>
  <si>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</si>
  <si>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</si>
  <si>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</si>
  <si>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</si>
  <si>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</si>
  <si>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</si>
  <si>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</si>
  <si>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</si>
  <si>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</si>
  <si>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</si>
  <si>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</si>
  <si>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</si>
  <si>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</si>
  <si>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</si>
  <si>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</si>
  <si>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</si>
  <si>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</si>
  <si>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</si>
  <si>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</si>
  <si>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</si>
  <si>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</si>
  <si>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</si>
  <si>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</si>
  <si>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</si>
  <si>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</si>
  <si>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</si>
  <si>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</si>
  <si>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</si>
  <si>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</si>
  <si>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</si>
  <si>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</si>
  <si>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</si>
  <si>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</si>
  <si>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</si>
  <si>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</si>
  <si>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</si>
  <si>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</si>
  <si>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</si>
  <si>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</si>
  <si>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</si>
  <si>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</si>
  <si>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</si>
  <si>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</si>
  <si>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</si>
  <si>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</si>
  <si>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</si>
  <si>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</si>
  <si>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</si>
  <si>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</si>
  <si>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</si>
  <si>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</si>
  <si>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</si>
  <si>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</si>
  <si>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</si>
  <si>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</si>
  <si>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</si>
  <si>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</si>
  <si>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</si>
  <si>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</si>
  <si>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</si>
  <si>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</si>
  <si>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</si>
  <si>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</si>
  <si>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</si>
  <si>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</si>
  <si>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</si>
  <si>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</si>
  <si>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</si>
  <si>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</si>
  <si>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</si>
  <si>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</si>
  <si>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</si>
  <si>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</si>
  <si>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</si>
  <si>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</si>
  <si>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</si>
  <si>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</si>
  <si>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</si>
  <si>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</si>
  <si>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</si>
  <si>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</si>
  <si>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</si>
  <si>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</si>
  <si>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</si>
  <si>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</si>
  <si>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</si>
  <si>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</si>
  <si>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</si>
  <si>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</si>
  <si>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</si>
  <si>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</si>
  <si>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</si>
  <si>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</si>
  <si>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</si>
  <si>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</si>
  <si>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</si>
  <si>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</si>
  <si>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</si>
  <si>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</si>
  <si>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</si>
  <si>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</si>
  <si>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</si>
  <si>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</si>
  <si>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</si>
  <si>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</si>
  <si>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</si>
  <si>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</si>
  <si>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</si>
  <si>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</si>
  <si>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</si>
  <si>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</si>
  <si>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</si>
  <si>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</si>
  <si>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</si>
  <si>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</si>
  <si>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</si>
  <si>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</si>
  <si>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</si>
  <si>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</si>
  <si>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</si>
  <si>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</si>
  <si>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</si>
  <si>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</si>
  <si>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</si>
  <si>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</si>
  <si>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</si>
  <si>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</si>
  <si>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</si>
  <si>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</si>
  <si>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</si>
  <si>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</si>
  <si>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</si>
  <si>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</si>
  <si>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</si>
  <si>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</si>
  <si>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</si>
  <si>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</si>
  <si>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</si>
  <si>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</si>
  <si>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</si>
  <si>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</si>
  <si>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</si>
  <si>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</si>
  <si>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</si>
  <si>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</si>
  <si>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</si>
  <si>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</si>
  <si>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</si>
  <si>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</si>
  <si>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</si>
  <si>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</si>
  <si>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</si>
  <si>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</si>
  <si>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</si>
  <si>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</si>
  <si>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</si>
  <si>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</si>
  <si>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</si>
  <si>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</si>
  <si>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</si>
  <si>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</si>
  <si>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</si>
  <si>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</si>
  <si>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</si>
  <si>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</si>
  <si>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</si>
  <si>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</si>
  <si>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</si>
  <si>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</si>
  <si>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</si>
  <si>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</si>
  <si>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</si>
  <si>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</si>
  <si>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</si>
  <si>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</si>
  <si>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</si>
  <si>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</si>
  <si>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</si>
  <si>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</si>
  <si>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</si>
  <si>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</si>
  <si>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</si>
  <si>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</si>
  <si>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</si>
  <si>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</si>
  <si>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</si>
  <si>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</si>
  <si>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</si>
  <si>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</si>
  <si>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</si>
  <si>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</si>
  <si>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</si>
  <si>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</si>
  <si>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</si>
  <si>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</si>
  <si>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</si>
  <si>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</si>
  <si>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</si>
  <si>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</si>
  <si>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</si>
  <si>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</si>
  <si>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</si>
  <si>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</si>
  <si>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</si>
  <si>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</si>
  <si>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</si>
  <si>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</si>
  <si>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</si>
  <si>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</si>
  <si>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</si>
  <si>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</si>
  <si>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</si>
  <si>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</si>
  <si>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</si>
  <si>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</si>
  <si>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</si>
  <si>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</si>
  <si>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</si>
  <si>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</si>
  <si>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</si>
  <si>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</si>
  <si>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</si>
  <si>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</si>
  <si>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</si>
  <si>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</si>
  <si>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</si>
  <si>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</si>
  <si>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</si>
  <si>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</si>
  <si>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</si>
  <si>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</si>
  <si>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</si>
  <si>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</si>
  <si>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</si>
  <si>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</si>
  <si>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</si>
  <si>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</si>
  <si>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</si>
  <si>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</si>
  <si>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</si>
  <si>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</si>
  <si>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</si>
  <si>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</si>
  <si>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</si>
  <si>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</si>
  <si>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</si>
  <si>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</si>
  <si>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</si>
  <si>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</si>
  <si>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</si>
  <si>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</si>
  <si>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</si>
  <si>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</si>
  <si>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</si>
  <si>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</si>
  <si>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</si>
  <si>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</si>
  <si>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</si>
  <si>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</si>
  <si>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</si>
  <si>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</si>
  <si>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</si>
  <si>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</si>
  <si>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</si>
  <si>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</si>
  <si>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</si>
  <si>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</si>
  <si>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</si>
  <si>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</si>
  <si>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</si>
  <si>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</si>
  <si>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</si>
  <si>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</si>
  <si>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</si>
  <si>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</si>
  <si>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</si>
  <si>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</si>
  <si>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</si>
  <si>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</si>
  <si>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</si>
  <si>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</si>
  <si>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</si>
  <si>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</si>
  <si>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</si>
  <si>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</si>
  <si>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</si>
  <si>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</si>
  <si>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</si>
  <si>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</si>
  <si>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</si>
  <si>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</si>
  <si>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</si>
  <si>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</si>
  <si>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</si>
  <si>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</si>
  <si>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</si>
  <si>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</si>
  <si>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</si>
  <si>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</si>
  <si>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</si>
  <si>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</si>
  <si>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</si>
  <si>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</si>
  <si>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</si>
  <si>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</si>
  <si>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</si>
  <si>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</si>
  <si>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</si>
  <si>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</si>
  <si>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</si>
  <si>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</si>
  <si>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</si>
  <si>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</si>
  <si>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</si>
  <si>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</si>
  <si>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</si>
  <si>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</si>
  <si>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</si>
  <si>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</si>
  <si>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</si>
  <si>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</si>
  <si>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</si>
  <si>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</si>
  <si>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</si>
  <si>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</si>
  <si>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</si>
  <si>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</si>
  <si>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</si>
  <si>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</si>
  <si>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</si>
  <si>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</si>
  <si>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</si>
  <si>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</si>
  <si>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</si>
  <si>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</si>
  <si>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</si>
  <si>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</si>
  <si>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</si>
  <si>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</si>
  <si>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</si>
  <si>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</si>
  <si>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</si>
  <si>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</si>
  <si>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</si>
  <si>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</si>
  <si>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</si>
  <si>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</si>
  <si>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</si>
  <si>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</si>
  <si>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</si>
  <si>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</si>
  <si>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</si>
  <si>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</si>
  <si>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</si>
  <si>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</si>
  <si>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</si>
  <si>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</si>
  <si>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</si>
  <si>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</si>
  <si>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</si>
  <si>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</si>
  <si>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</si>
  <si>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</si>
  <si>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</si>
  <si>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</si>
  <si>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</si>
  <si>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</si>
  <si>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</si>
  <si>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</si>
  <si>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</si>
  <si>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</si>
  <si>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</si>
  <si>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</si>
  <si>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</si>
  <si>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</si>
  <si>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</si>
  <si>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</si>
  <si>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</si>
  <si>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</si>
  <si>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</si>
  <si>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</si>
  <si>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</si>
  <si>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</si>
  <si>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</si>
  <si>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</si>
  <si>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</si>
  <si>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</si>
  <si>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</si>
  <si>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</si>
  <si>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</si>
  <si>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</si>
  <si>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</si>
  <si>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</si>
  <si>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</si>
  <si>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</si>
  <si>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</si>
  <si>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</si>
  <si>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</si>
  <si>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</si>
  <si>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</si>
  <si>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</si>
  <si>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</si>
  <si>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</si>
  <si>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</si>
  <si>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</si>
  <si>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</si>
  <si>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</si>
  <si>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</si>
  <si>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</si>
  <si>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</si>
  <si>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</si>
  <si>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</si>
  <si>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</si>
  <si>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</si>
  <si>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</si>
  <si>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</si>
  <si>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</si>
  <si>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</si>
  <si>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</si>
  <si>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</si>
  <si>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</si>
  <si>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</si>
  <si>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</si>
  <si>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</si>
  <si>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</si>
  <si>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</si>
  <si>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</si>
  <si>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</si>
  <si>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</si>
  <si>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</si>
  <si>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</si>
  <si>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</si>
  <si>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</si>
  <si>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</si>
  <si>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</si>
  <si>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</si>
  <si>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</si>
  <si>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</si>
  <si>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</si>
  <si>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</si>
  <si>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</si>
  <si>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</si>
  <si>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</si>
  <si>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</si>
  <si>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</si>
  <si>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</si>
  <si>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</si>
  <si>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</si>
  <si>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</si>
  <si>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</si>
  <si>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</si>
  <si>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</si>
  <si>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</si>
  <si>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</si>
  <si>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</si>
  <si>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</si>
  <si>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</si>
  <si>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</si>
  <si>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</si>
  <si>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</si>
  <si>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</si>
  <si>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</si>
  <si>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</si>
  <si>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</si>
  <si>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</si>
  <si>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</si>
  <si>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</si>
  <si>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</si>
  <si>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</si>
  <si>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</si>
  <si>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</si>
  <si>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</si>
  <si>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</si>
  <si>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</si>
  <si>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</si>
  <si>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</si>
  <si>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</si>
  <si>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</si>
  <si>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</si>
  <si>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</si>
  <si>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</si>
  <si>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</si>
  <si>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</si>
  <si>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</si>
  <si>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</si>
  <si>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</si>
  <si>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</si>
  <si>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</si>
  <si>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</si>
  <si>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</si>
  <si>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</si>
  <si>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</si>
  <si>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</si>
  <si>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</si>
  <si>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</si>
  <si>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</si>
  <si>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</si>
  <si>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</si>
  <si>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</si>
  <si>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</si>
  <si>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</si>
  <si>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</si>
  <si>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</si>
  <si>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</si>
  <si>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</si>
  <si>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</si>
  <si>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</si>
  <si>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</si>
  <si>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</si>
  <si>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</si>
  <si>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</si>
  <si>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</si>
  <si>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</si>
  <si>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</si>
  <si>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</si>
  <si>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</si>
  <si>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</si>
  <si>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</si>
  <si>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</si>
  <si>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</si>
  <si>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</si>
  <si>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</si>
  <si>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</si>
  <si>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</si>
  <si>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</si>
  <si>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</si>
  <si>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</si>
  <si>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</si>
  <si>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</si>
  <si>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</si>
  <si>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</si>
  <si>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</si>
  <si>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</si>
  <si>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</si>
  <si>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</si>
  <si>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</si>
  <si>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</si>
  <si>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</si>
  <si>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</si>
  <si>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</si>
  <si>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</si>
  <si>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</si>
  <si>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</si>
  <si>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</si>
  <si>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</si>
  <si>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</si>
  <si>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</si>
  <si>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</si>
  <si>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</si>
  <si>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</si>
  <si>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</si>
  <si>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</si>
  <si>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</si>
  <si>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</si>
  <si>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</si>
  <si>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</si>
  <si>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</si>
  <si>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</si>
  <si>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</si>
  <si>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</si>
  <si>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</si>
  <si>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</si>
  <si>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</si>
  <si>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</si>
  <si>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</si>
  <si>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</si>
  <si>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</si>
  <si>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</si>
  <si>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</si>
  <si>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</si>
  <si>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</si>
  <si>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</si>
  <si>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</si>
  <si>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</si>
  <si>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</si>
  <si>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</si>
  <si>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</si>
  <si>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</si>
  <si>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</si>
  <si>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</si>
  <si>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</si>
  <si>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</si>
  <si>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</si>
  <si>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</si>
  <si>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</si>
  <si>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</si>
  <si>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</si>
  <si>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</si>
  <si>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</si>
  <si>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</si>
  <si>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</si>
  <si>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</si>
  <si>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</si>
  <si>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</si>
  <si>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</si>
  <si>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</si>
  <si>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</si>
  <si>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</si>
  <si>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</si>
  <si>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</si>
  <si>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</si>
  <si>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</si>
  <si>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</si>
  <si>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</si>
  <si>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</si>
  <si>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</si>
  <si>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</si>
  <si>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</si>
  <si>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</si>
  <si>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</si>
  <si>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</si>
  <si>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</si>
  <si>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</si>
  <si>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</si>
  <si>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</si>
  <si>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</si>
  <si>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</si>
  <si>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</si>
  <si>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</si>
  <si>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</si>
  <si>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</si>
  <si>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</si>
  <si>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</si>
  <si>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</si>
  <si>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</si>
  <si>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</si>
  <si>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</si>
  <si>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</si>
  <si>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</si>
  <si>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</si>
  <si>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</si>
  <si>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</si>
  <si>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</si>
  <si>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</si>
  <si>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</si>
  <si>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</si>
  <si>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</si>
  <si>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</si>
  <si>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</si>
  <si>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</si>
  <si>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</si>
  <si>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</si>
  <si>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</si>
  <si>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</si>
  <si>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</si>
  <si>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</si>
  <si>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</si>
  <si>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</si>
  <si>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</si>
  <si>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</si>
  <si>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</si>
  <si>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</si>
  <si>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</si>
  <si>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</si>
  <si>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</si>
  <si>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</si>
  <si>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</si>
  <si>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</si>
  <si>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</si>
  <si>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</si>
  <si>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</si>
  <si>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</si>
  <si>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</si>
  <si>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</si>
  <si>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</si>
  <si>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</si>
  <si>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</si>
  <si>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</si>
  <si>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</si>
  <si>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</si>
  <si>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</si>
  <si>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</si>
  <si>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</si>
  <si>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</si>
  <si>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</si>
  <si>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</si>
  <si>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</si>
  <si>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</si>
  <si>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</si>
  <si>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</si>
  <si>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</si>
  <si>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</si>
  <si>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</si>
  <si>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</si>
  <si>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</si>
  <si>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</si>
  <si>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</si>
  <si>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</si>
  <si>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</si>
  <si>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</si>
  <si>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</si>
  <si>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</si>
  <si>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</si>
  <si>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</si>
  <si>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</si>
  <si>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</si>
  <si>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</si>
  <si>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</si>
  <si>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</si>
  <si>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</si>
  <si>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</si>
  <si>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</si>
  <si>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</si>
  <si>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</si>
  <si>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</si>
  <si>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</si>
  <si>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</si>
  <si>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</si>
  <si>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</si>
  <si>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</si>
  <si>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</si>
  <si>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</si>
  <si>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</si>
  <si>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</si>
  <si>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</si>
  <si>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</si>
  <si>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</si>
  <si>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</si>
  <si>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</si>
  <si>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</si>
  <si>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</si>
  <si>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</si>
  <si>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</si>
  <si>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</si>
  <si>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</si>
  <si>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</si>
  <si>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</si>
  <si>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</si>
  <si>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</si>
  <si>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</si>
  <si>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</si>
  <si>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</si>
  <si>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</si>
  <si>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</si>
  <si>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</si>
  <si>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</si>
  <si>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</si>
  <si>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</si>
  <si>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</si>
  <si>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</si>
  <si>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</si>
  <si>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</si>
  <si>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</si>
  <si>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</si>
  <si>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</si>
  <si>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</si>
  <si>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</si>
  <si>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</si>
  <si>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</si>
  <si>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</si>
  <si>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</si>
  <si>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</si>
  <si>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</si>
  <si>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</si>
  <si>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</si>
  <si>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</si>
  <si>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</si>
  <si>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</si>
  <si>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</si>
  <si>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</si>
  <si>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</si>
  <si>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</si>
  <si>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</si>
  <si>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</si>
  <si>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</si>
  <si>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</si>
  <si>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</si>
  <si>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</si>
  <si>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</si>
  <si>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</si>
  <si>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</si>
  <si>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</si>
  <si>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</si>
  <si>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</si>
  <si>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</si>
  <si>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</si>
  <si>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</si>
  <si>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</si>
  <si>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</si>
  <si>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</si>
  <si>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</si>
  <si>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</si>
  <si>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How long we take to ship the orders</t>
  </si>
  <si>
    <t>How happy are our customers?</t>
  </si>
  <si>
    <t>Logo</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</si>
  <si>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</si>
  <si>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</si>
  <si>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</si>
  <si>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</si>
  <si>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</si>
  <si>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</si>
  <si>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</si>
  <si>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</si>
  <si>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</si>
  <si>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</si>
  <si>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</si>
  <si>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</si>
  <si>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</si>
  <si>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</si>
  <si>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</si>
  <si>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</si>
  <si>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</si>
  <si>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</si>
  <si>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</si>
  <si>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</si>
  <si>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</si>
  <si>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Values for Display</t>
  </si>
  <si>
    <t>Qty</t>
  </si>
  <si>
    <t>Avg.Rating</t>
  </si>
  <si>
    <t>Avg.days</t>
  </si>
  <si>
    <t>Row Labels</t>
  </si>
  <si>
    <t>Grand Total</t>
  </si>
  <si>
    <t>Column Labels</t>
  </si>
  <si>
    <t>for matrix</t>
  </si>
  <si>
    <t>U</t>
  </si>
  <si>
    <t>6 To 10</t>
  </si>
  <si>
    <t>More than10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</si>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</sst>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4">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5">
    <border>
      <left/>
      <right/>
      <top/>
      <bottom/>
      <diagonal/>
    </border>
    <border>
      <left/>
      <right/>
      <top/>
      <bottom style="thin">
        <color theme="4" tint="0.39997558519241921"/>
      </bottom>
      <diagonal/>
    </border>
    <border>
      <left style="thin">
        <color theme="0"/>
      </left>
      <right style="thin">
        <color theme="0"/>
      </right>
      <top style="thin">
        <color theme="0"/>
      </top>
      <bottom style="thin">
        <color theme="0"/>
      </bottom>
      <diagonal/>
    </border>
    <border>
      <left style="thick">
        <color theme="0"/>
      </left>
      <right style="thick">
        <color theme="0"/>
      </right>
      <top style="thick">
        <color theme="0"/>
      </top>
      <bottom style="thick">
        <color theme="0"/>
      </bottom>
      <diagonal/>
    </border>
    <border>
      <left/>
      <right/>
      <top style="thin">
        <color theme="4"/>
      </top>
      <bottom style="thin">
        <color theme="4"/>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quotePrefix="1"/>
    <xf numFmtId="0" fontId="3" fillId="0" borderId="0" xfId="1"/>
    <xf numFmtId="0" fontId="0" fillId="0" borderId="0" xfId="0" applyNumberFormat="1"/>
    <xf numFmtId="0" fontId="1"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0" fontId="0" fillId="0" borderId="2" xfId="0" applyNumberFormat="1" applyBorder="1"/>
    <xf numFmtId="0" fontId="0" fillId="0" borderId="0" xfId="0" applyBorder="1"/>
    <xf numFmtId="165" fontId="0" fillId="0" borderId="3" xfId="0" applyNumberFormat="1" applyBorder="1"/>
    <xf numFmtId="0" fontId="0" fillId="0" borderId="3" xfId="0" applyBorder="1"/>
    <xf numFmtId="0" fontId="1" fillId="0" borderId="0" xfId="0" applyFont="1"/>
    <xf numFmtId="0" fontId="1" fillId="0" borderId="1" xfId="0" applyFont="1" applyBorder="1"/>
    <xf numFmtId="0" fontId="1" fillId="0" borderId="4" xfId="0" applyFont="1" applyBorder="1"/>
    <xf numFmtId="0" fontId="1" fillId="0" borderId="4" xfId="0" applyNumberFormat="1" applyFont="1" applyBorder="1"/>
    <xf numFmtId="0" fontId="1" fillId="0" borderId="0" xfId="0" pivotButton="1" applyFont="1"/>
  </cellXfs>
  <cellStyles count="2">
    <cellStyle name="Hyperlink" xfId="1" builtinId="8"/>
    <cellStyle name="Normal" xfId="0" builtinId="0"/>
  </cellStyles>
  <dxfs count="19">
    <dxf>
      <numFmt numFmtId="167" formatCode="&quot;₹&quot;\ #,##0"/>
    </dxf>
    <dxf>
      <numFmt numFmtId="164" formatCode="[$$-409]#,##0"/>
    </dxf>
    <dxf>
      <numFmt numFmtId="167" formatCode="&quot;₹&quot;\ #,##0"/>
    </dxf>
    <dxf>
      <numFmt numFmtId="164" formatCode="[$$-409]#,##0"/>
    </dxf>
    <dxf>
      <numFmt numFmtId="167" formatCode="&quot;₹&quot;\ #,##0"/>
    </dxf>
    <dxf>
      <numFmt numFmtId="164" formatCode="[$$-409]#,##0"/>
    </dxf>
    <dxf>
      <numFmt numFmtId="167" formatCode="&quot;₹&quot;\ #,##0"/>
    </dxf>
    <dxf>
      <numFmt numFmtId="164" formatCode="[$$-409]#,##0"/>
    </dxf>
    <dxf>
      <numFmt numFmtId="167" formatCode="&quot;₹&quot;\ #,##0"/>
    </dxf>
    <dxf>
      <numFmt numFmtId="164" formatCode="[$$-409]#,##0"/>
    </dxf>
    <dxf>
      <numFmt numFmtId="167" formatCode="&quot;₹&quot;\ #,##0"/>
    </dxf>
    <dxf>
      <numFmt numFmtId="164" formatCode="[$$-409]#,##0"/>
    </dxf>
    <dxf>
      <numFmt numFmtId="167" formatCode="&quot;₹&quot;\ #,##0"/>
    </dxf>
    <dxf>
      <numFmt numFmtId="164" formatCode="[$$-409]#,##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Last</a:t>
            </a:r>
            <a:r>
              <a:rPr lang="en-IN" sz="1200" b="1" baseline="0">
                <a:solidFill>
                  <a:sysClr val="windowText" lastClr="000000"/>
                </a:solidFill>
              </a:rPr>
              <a:t> 13 Week Trends , Qty &amp;Amount</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rgbClr val="FF0000"/>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5">
                <a:lumMod val="50000"/>
              </a:schemeClr>
            </a:solidFill>
            <a:round/>
          </a:ln>
          <a:effectLst/>
        </c:spPr>
        <c:marker>
          <c:symbol val="circle"/>
          <c:size val="5"/>
          <c:spPr>
            <a:solidFill>
              <a:schemeClr val="accent1">
                <a:lumMod val="50000"/>
              </a:schemeClr>
            </a:solidFill>
            <a:ln w="9525">
              <a:solidFill>
                <a:schemeClr val="tx1"/>
              </a:solidFill>
            </a:ln>
            <a:effectLst/>
          </c:spPr>
        </c:marker>
      </c:pivotFmt>
    </c:pivotFmts>
    <c:plotArea>
      <c:layout/>
      <c:lineChart>
        <c:grouping val="standard"/>
        <c:varyColors val="0"/>
        <c:ser>
          <c:idx val="0"/>
          <c:order val="0"/>
          <c:tx>
            <c:strRef>
              <c:f>Pivots!$B$8</c:f>
              <c:strCache>
                <c:ptCount val="1"/>
                <c:pt idx="0">
                  <c:v>Sum of Quantity</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46</c:v>
                </c:pt>
                <c:pt idx="1">
                  <c:v>123</c:v>
                </c:pt>
                <c:pt idx="2">
                  <c:v>166</c:v>
                </c:pt>
                <c:pt idx="3">
                  <c:v>106</c:v>
                </c:pt>
                <c:pt idx="4">
                  <c:v>66</c:v>
                </c:pt>
                <c:pt idx="5">
                  <c:v>103</c:v>
                </c:pt>
                <c:pt idx="6">
                  <c:v>98</c:v>
                </c:pt>
                <c:pt idx="7">
                  <c:v>100</c:v>
                </c:pt>
                <c:pt idx="8">
                  <c:v>82</c:v>
                </c:pt>
                <c:pt idx="9">
                  <c:v>105</c:v>
                </c:pt>
                <c:pt idx="10">
                  <c:v>89</c:v>
                </c:pt>
                <c:pt idx="11">
                  <c:v>123</c:v>
                </c:pt>
                <c:pt idx="12">
                  <c:v>105</c:v>
                </c:pt>
              </c:numCache>
            </c:numRef>
          </c:val>
          <c:smooth val="0"/>
          <c:extLst>
            <c:ext xmlns:c16="http://schemas.microsoft.com/office/drawing/2014/chart" uri="{C3380CC4-5D6E-409C-BE32-E72D297353CC}">
              <c16:uniqueId val="{00000000-92AC-4559-986F-E1940417F74E}"/>
            </c:ext>
          </c:extLst>
        </c:ser>
        <c:dLbls>
          <c:showLegendKey val="0"/>
          <c:showVal val="0"/>
          <c:showCatName val="0"/>
          <c:showSerName val="0"/>
          <c:showPercent val="0"/>
          <c:showBubbleSize val="0"/>
        </c:dLbls>
        <c:marker val="1"/>
        <c:smooth val="0"/>
        <c:axId val="588651663"/>
        <c:axId val="734886415"/>
      </c:lineChart>
      <c:lineChart>
        <c:grouping val="standard"/>
        <c:varyColors val="0"/>
        <c:ser>
          <c:idx val="1"/>
          <c:order val="1"/>
          <c:tx>
            <c:strRef>
              <c:f>Pivots!$C$8</c:f>
              <c:strCache>
                <c:ptCount val="1"/>
                <c:pt idx="0">
                  <c:v>Sum of Amount</c:v>
                </c:pt>
              </c:strCache>
            </c:strRef>
          </c:tx>
          <c:spPr>
            <a:ln w="28575" cap="rnd">
              <a:solidFill>
                <a:schemeClr val="accent5">
                  <a:lumMod val="50000"/>
                </a:schemeClr>
              </a:solidFill>
              <a:round/>
            </a:ln>
            <a:effectLst/>
          </c:spPr>
          <c:marker>
            <c:symbol val="circle"/>
            <c:size val="5"/>
            <c:spPr>
              <a:solidFill>
                <a:schemeClr val="accent1">
                  <a:lumMod val="50000"/>
                </a:schemeClr>
              </a:solidFill>
              <a:ln w="9525">
                <a:solidFill>
                  <a:schemeClr val="tx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[$$-409]#,##0</c:formatCode>
                <c:ptCount val="13"/>
                <c:pt idx="0">
                  <c:v>2464.5</c:v>
                </c:pt>
                <c:pt idx="1">
                  <c:v>6640.8999999999987</c:v>
                </c:pt>
                <c:pt idx="2">
                  <c:v>11586.4</c:v>
                </c:pt>
                <c:pt idx="3">
                  <c:v>6299.0000000000009</c:v>
                </c:pt>
                <c:pt idx="4">
                  <c:v>3651.5</c:v>
                </c:pt>
                <c:pt idx="5">
                  <c:v>6947.5999999999995</c:v>
                </c:pt>
                <c:pt idx="6">
                  <c:v>5445.5</c:v>
                </c:pt>
                <c:pt idx="7">
                  <c:v>6602.9</c:v>
                </c:pt>
                <c:pt idx="8">
                  <c:v>5227.3999999999996</c:v>
                </c:pt>
                <c:pt idx="9">
                  <c:v>7823.9000000000015</c:v>
                </c:pt>
                <c:pt idx="10">
                  <c:v>5548.7</c:v>
                </c:pt>
                <c:pt idx="11">
                  <c:v>6268.2000000000007</c:v>
                </c:pt>
                <c:pt idx="12">
                  <c:v>6764.4000000000005</c:v>
                </c:pt>
              </c:numCache>
            </c:numRef>
          </c:val>
          <c:smooth val="0"/>
          <c:extLst>
            <c:ext xmlns:c16="http://schemas.microsoft.com/office/drawing/2014/chart" uri="{C3380CC4-5D6E-409C-BE32-E72D297353CC}">
              <c16:uniqueId val="{00000001-92AC-4559-986F-E1940417F74E}"/>
            </c:ext>
          </c:extLst>
        </c:ser>
        <c:dLbls>
          <c:showLegendKey val="0"/>
          <c:showVal val="0"/>
          <c:showCatName val="0"/>
          <c:showSerName val="0"/>
          <c:showPercent val="0"/>
          <c:showBubbleSize val="0"/>
        </c:dLbls>
        <c:marker val="1"/>
        <c:smooth val="0"/>
        <c:axId val="243730991"/>
        <c:axId val="746466095"/>
      </c:lineChart>
      <c:catAx>
        <c:axId val="58865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86415"/>
        <c:crosses val="autoZero"/>
        <c:auto val="1"/>
        <c:lblAlgn val="ctr"/>
        <c:lblOffset val="100"/>
        <c:noMultiLvlLbl val="0"/>
      </c:catAx>
      <c:valAx>
        <c:axId val="73488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51663"/>
        <c:crosses val="autoZero"/>
        <c:crossBetween val="between"/>
      </c:valAx>
      <c:valAx>
        <c:axId val="746466095"/>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30991"/>
        <c:crosses val="max"/>
        <c:crossBetween val="between"/>
      </c:valAx>
      <c:catAx>
        <c:axId val="243730991"/>
        <c:scaling>
          <c:orientation val="minMax"/>
        </c:scaling>
        <c:delete val="1"/>
        <c:axPos val="b"/>
        <c:numFmt formatCode="General" sourceLinked="1"/>
        <c:majorTickMark val="out"/>
        <c:minorTickMark val="none"/>
        <c:tickLblPos val="nextTo"/>
        <c:crossAx val="74646609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Pivots!$B$27</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Pivots!$A$28:$A$35</c:f>
              <c:strCache>
                <c:ptCount val="7"/>
                <c:pt idx="0">
                  <c:v>1</c:v>
                </c:pt>
                <c:pt idx="1">
                  <c:v>2</c:v>
                </c:pt>
                <c:pt idx="2">
                  <c:v>3</c:v>
                </c:pt>
                <c:pt idx="3">
                  <c:v>4</c:v>
                </c:pt>
                <c:pt idx="4">
                  <c:v>5</c:v>
                </c:pt>
                <c:pt idx="5">
                  <c:v>6 To 10</c:v>
                </c:pt>
                <c:pt idx="6">
                  <c:v>More than10</c:v>
                </c:pt>
              </c:strCache>
            </c:strRef>
          </c:cat>
          <c:val>
            <c:numRef>
              <c:f>Pivots!$B$28:$B$35</c:f>
              <c:numCache>
                <c:formatCode>General</c:formatCode>
                <c:ptCount val="7"/>
                <c:pt idx="0">
                  <c:v>42</c:v>
                </c:pt>
                <c:pt idx="1">
                  <c:v>71</c:v>
                </c:pt>
                <c:pt idx="2">
                  <c:v>54</c:v>
                </c:pt>
                <c:pt idx="3">
                  <c:v>33</c:v>
                </c:pt>
                <c:pt idx="4">
                  <c:v>22</c:v>
                </c:pt>
                <c:pt idx="5">
                  <c:v>48</c:v>
                </c:pt>
                <c:pt idx="6">
                  <c:v>21</c:v>
                </c:pt>
              </c:numCache>
            </c:numRef>
          </c:val>
          <c:extLst>
            <c:ext xmlns:c16="http://schemas.microsoft.com/office/drawing/2014/chart" uri="{C3380CC4-5D6E-409C-BE32-E72D297353CC}">
              <c16:uniqueId val="{00000000-1DE2-44B1-B45C-41423082DCB4}"/>
            </c:ext>
          </c:extLst>
        </c:ser>
        <c:dLbls>
          <c:dLblPos val="outEnd"/>
          <c:showLegendKey val="0"/>
          <c:showVal val="1"/>
          <c:showCatName val="0"/>
          <c:showSerName val="0"/>
          <c:showPercent val="0"/>
          <c:showBubbleSize val="0"/>
        </c:dLbls>
        <c:gapWidth val="25"/>
        <c:overlap val="-27"/>
        <c:axId val="703944399"/>
        <c:axId val="746492719"/>
      </c:barChart>
      <c:catAx>
        <c:axId val="70394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92719"/>
        <c:crosses val="autoZero"/>
        <c:auto val="1"/>
        <c:lblAlgn val="ctr"/>
        <c:lblOffset val="100"/>
        <c:noMultiLvlLbl val="0"/>
      </c:catAx>
      <c:valAx>
        <c:axId val="746492719"/>
        <c:scaling>
          <c:orientation val="minMax"/>
        </c:scaling>
        <c:delete val="1"/>
        <c:axPos val="l"/>
        <c:numFmt formatCode="General" sourceLinked="1"/>
        <c:majorTickMark val="none"/>
        <c:minorTickMark val="none"/>
        <c:tickLblPos val="nextTo"/>
        <c:crossAx val="703944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Dashboard.xlsx]Pivots!PivotTable5</c:name>
    <c:fmtId val="3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tx1">
              <a:lumMod val="95000"/>
              <a:lumOff val="5000"/>
            </a:schemeClr>
          </a:solidFill>
          <a:ln>
            <a:noFill/>
          </a:ln>
          <a:effectLst/>
        </c:spPr>
        <c:marker>
          <c:symbol val="none"/>
        </c:marker>
      </c:pivotFmt>
      <c:pivotFmt>
        <c:idx val="9"/>
        <c:spPr>
          <a:solidFill>
            <a:schemeClr val="tx2">
              <a:lumMod val="90000"/>
              <a:lumOff val="10000"/>
            </a:schemeClr>
          </a:solidFill>
          <a:ln>
            <a:noFill/>
          </a:ln>
          <a:effectLst/>
        </c:spPr>
        <c:marker>
          <c:symbol val="none"/>
        </c:marker>
      </c:pivotFmt>
      <c:pivotFmt>
        <c:idx val="10"/>
        <c:spPr>
          <a:solidFill>
            <a:schemeClr val="accent5">
              <a:lumMod val="75000"/>
            </a:schemeClr>
          </a:solidFill>
          <a:ln>
            <a:noFill/>
          </a:ln>
          <a:effectLst/>
        </c:spPr>
        <c:marker>
          <c:symbol val="none"/>
        </c:marker>
      </c:pivotFmt>
      <c:pivotFmt>
        <c:idx val="11"/>
        <c:spPr>
          <a:solidFill>
            <a:srgbClr val="00B050"/>
          </a:solidFill>
          <a:ln>
            <a:noFill/>
          </a:ln>
          <a:effectLst/>
        </c:spPr>
        <c:marker>
          <c:symbol val="none"/>
        </c:marker>
      </c:pivotFmt>
    </c:pivotFmts>
    <c:plotArea>
      <c:layout>
        <c:manualLayout>
          <c:layoutTarget val="inner"/>
          <c:xMode val="edge"/>
          <c:yMode val="edge"/>
          <c:x val="4.71648409176584E-2"/>
          <c:y val="6.9972503811899789E-2"/>
          <c:w val="0.60721572623720454"/>
          <c:h val="0.8899354653186714"/>
        </c:manualLayout>
      </c:layout>
      <c:barChart>
        <c:barDir val="bar"/>
        <c:grouping val="stacked"/>
        <c:varyColors val="0"/>
        <c:ser>
          <c:idx val="0"/>
          <c:order val="0"/>
          <c:tx>
            <c:strRef>
              <c:f>Pivots!$B$42:$B$43</c:f>
              <c:strCache>
                <c:ptCount val="1"/>
              </c:strCache>
            </c:strRef>
          </c:tx>
          <c:spPr>
            <a:solidFill>
              <a:schemeClr val="tx1">
                <a:lumMod val="95000"/>
                <a:lumOff val="5000"/>
              </a:schemeClr>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Pivots!$B$44:$B$64</c:f>
              <c:numCache>
                <c:formatCode>General</c:formatCode>
                <c:ptCount val="20"/>
                <c:pt idx="0">
                  <c:v>10</c:v>
                </c:pt>
                <c:pt idx="1">
                  <c:v>12</c:v>
                </c:pt>
                <c:pt idx="2">
                  <c:v>27</c:v>
                </c:pt>
                <c:pt idx="5">
                  <c:v>6</c:v>
                </c:pt>
                <c:pt idx="6">
                  <c:v>10</c:v>
                </c:pt>
                <c:pt idx="8">
                  <c:v>3</c:v>
                </c:pt>
                <c:pt idx="9">
                  <c:v>17</c:v>
                </c:pt>
                <c:pt idx="10">
                  <c:v>4</c:v>
                </c:pt>
                <c:pt idx="11">
                  <c:v>6</c:v>
                </c:pt>
                <c:pt idx="13">
                  <c:v>10</c:v>
                </c:pt>
                <c:pt idx="14">
                  <c:v>2</c:v>
                </c:pt>
                <c:pt idx="15">
                  <c:v>7</c:v>
                </c:pt>
                <c:pt idx="16">
                  <c:v>5</c:v>
                </c:pt>
                <c:pt idx="17">
                  <c:v>15</c:v>
                </c:pt>
              </c:numCache>
            </c:numRef>
          </c:val>
          <c:extLst>
            <c:ext xmlns:c16="http://schemas.microsoft.com/office/drawing/2014/chart" uri="{C3380CC4-5D6E-409C-BE32-E72D297353CC}">
              <c16:uniqueId val="{00000000-8F5B-4229-911E-9CAF6DE86911}"/>
            </c:ext>
          </c:extLst>
        </c:ser>
        <c:ser>
          <c:idx val="1"/>
          <c:order val="1"/>
          <c:tx>
            <c:strRef>
              <c:f>Pivots!$C$42:$C$43</c:f>
              <c:strCache>
                <c:ptCount val="1"/>
                <c:pt idx="0">
                  <c:v>F</c:v>
                </c:pt>
              </c:strCache>
            </c:strRef>
          </c:tx>
          <c:spPr>
            <a:solidFill>
              <a:schemeClr val="tx2">
                <a:lumMod val="90000"/>
                <a:lumOff val="10000"/>
              </a:schemeClr>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Pivots!$C$44:$C$64</c:f>
              <c:numCache>
                <c:formatCode>General</c:formatCode>
                <c:ptCount val="20"/>
                <c:pt idx="0">
                  <c:v>157</c:v>
                </c:pt>
                <c:pt idx="1">
                  <c:v>175</c:v>
                </c:pt>
                <c:pt idx="2">
                  <c:v>177</c:v>
                </c:pt>
                <c:pt idx="3">
                  <c:v>146</c:v>
                </c:pt>
                <c:pt idx="4">
                  <c:v>42</c:v>
                </c:pt>
                <c:pt idx="5">
                  <c:v>72</c:v>
                </c:pt>
                <c:pt idx="6">
                  <c:v>68</c:v>
                </c:pt>
                <c:pt idx="7">
                  <c:v>55</c:v>
                </c:pt>
                <c:pt idx="8">
                  <c:v>53</c:v>
                </c:pt>
                <c:pt idx="9">
                  <c:v>57</c:v>
                </c:pt>
                <c:pt idx="10">
                  <c:v>57</c:v>
                </c:pt>
                <c:pt idx="11">
                  <c:v>34</c:v>
                </c:pt>
                <c:pt idx="12">
                  <c:v>53</c:v>
                </c:pt>
                <c:pt idx="13">
                  <c:v>42</c:v>
                </c:pt>
                <c:pt idx="14">
                  <c:v>31</c:v>
                </c:pt>
                <c:pt idx="15">
                  <c:v>44</c:v>
                </c:pt>
                <c:pt idx="16">
                  <c:v>11</c:v>
                </c:pt>
                <c:pt idx="17">
                  <c:v>13</c:v>
                </c:pt>
                <c:pt idx="18">
                  <c:v>16</c:v>
                </c:pt>
                <c:pt idx="19">
                  <c:v>9</c:v>
                </c:pt>
              </c:numCache>
            </c:numRef>
          </c:val>
          <c:extLst>
            <c:ext xmlns:c16="http://schemas.microsoft.com/office/drawing/2014/chart" uri="{C3380CC4-5D6E-409C-BE32-E72D297353CC}">
              <c16:uniqueId val="{00000001-8F5B-4229-911E-9CAF6DE86911}"/>
            </c:ext>
          </c:extLst>
        </c:ser>
        <c:ser>
          <c:idx val="2"/>
          <c:order val="2"/>
          <c:tx>
            <c:strRef>
              <c:f>Pivots!$D$42:$D$43</c:f>
              <c:strCache>
                <c:ptCount val="1"/>
                <c:pt idx="0">
                  <c:v>M</c:v>
                </c:pt>
              </c:strCache>
            </c:strRef>
          </c:tx>
          <c:spPr>
            <a:solidFill>
              <a:schemeClr val="accent5">
                <a:lumMod val="75000"/>
              </a:schemeClr>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Pivots!$D$44:$D$64</c:f>
              <c:numCache>
                <c:formatCode>General</c:formatCode>
                <c:ptCount val="20"/>
                <c:pt idx="0">
                  <c:v>220</c:v>
                </c:pt>
                <c:pt idx="1">
                  <c:v>187</c:v>
                </c:pt>
                <c:pt idx="2">
                  <c:v>80</c:v>
                </c:pt>
                <c:pt idx="3">
                  <c:v>98</c:v>
                </c:pt>
                <c:pt idx="4">
                  <c:v>82</c:v>
                </c:pt>
                <c:pt idx="5">
                  <c:v>52</c:v>
                </c:pt>
                <c:pt idx="6">
                  <c:v>48</c:v>
                </c:pt>
                <c:pt idx="7">
                  <c:v>54</c:v>
                </c:pt>
                <c:pt idx="8">
                  <c:v>45</c:v>
                </c:pt>
                <c:pt idx="9">
                  <c:v>31</c:v>
                </c:pt>
                <c:pt idx="10">
                  <c:v>41</c:v>
                </c:pt>
                <c:pt idx="11">
                  <c:v>50</c:v>
                </c:pt>
                <c:pt idx="12">
                  <c:v>34</c:v>
                </c:pt>
                <c:pt idx="13">
                  <c:v>29</c:v>
                </c:pt>
                <c:pt idx="14">
                  <c:v>26</c:v>
                </c:pt>
                <c:pt idx="15">
                  <c:v>14</c:v>
                </c:pt>
                <c:pt idx="16">
                  <c:v>20</c:v>
                </c:pt>
                <c:pt idx="17">
                  <c:v>9</c:v>
                </c:pt>
                <c:pt idx="18">
                  <c:v>16</c:v>
                </c:pt>
                <c:pt idx="19">
                  <c:v>12</c:v>
                </c:pt>
              </c:numCache>
            </c:numRef>
          </c:val>
          <c:extLst>
            <c:ext xmlns:c16="http://schemas.microsoft.com/office/drawing/2014/chart" uri="{C3380CC4-5D6E-409C-BE32-E72D297353CC}">
              <c16:uniqueId val="{00000002-8F5B-4229-911E-9CAF6DE86911}"/>
            </c:ext>
          </c:extLst>
        </c:ser>
        <c:ser>
          <c:idx val="3"/>
          <c:order val="3"/>
          <c:tx>
            <c:strRef>
              <c:f>Pivots!$E$42:$E$43</c:f>
              <c:strCache>
                <c:ptCount val="1"/>
                <c:pt idx="0">
                  <c:v>O</c:v>
                </c:pt>
              </c:strCache>
            </c:strRef>
          </c:tx>
          <c:spPr>
            <a:solidFill>
              <a:srgbClr val="00B050"/>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Pivots!$E$44:$E$64</c:f>
              <c:numCache>
                <c:formatCode>General</c:formatCode>
                <c:ptCount val="20"/>
                <c:pt idx="0">
                  <c:v>12</c:v>
                </c:pt>
                <c:pt idx="1">
                  <c:v>8</c:v>
                </c:pt>
                <c:pt idx="3">
                  <c:v>6</c:v>
                </c:pt>
                <c:pt idx="4">
                  <c:v>13</c:v>
                </c:pt>
                <c:pt idx="7">
                  <c:v>5</c:v>
                </c:pt>
                <c:pt idx="8">
                  <c:v>6</c:v>
                </c:pt>
                <c:pt idx="13">
                  <c:v>4</c:v>
                </c:pt>
                <c:pt idx="14">
                  <c:v>15</c:v>
                </c:pt>
                <c:pt idx="16">
                  <c:v>3</c:v>
                </c:pt>
              </c:numCache>
            </c:numRef>
          </c:val>
          <c:extLst>
            <c:ext xmlns:c16="http://schemas.microsoft.com/office/drawing/2014/chart" uri="{C3380CC4-5D6E-409C-BE32-E72D297353CC}">
              <c16:uniqueId val="{00000003-8F5B-4229-911E-9CAF6DE86911}"/>
            </c:ext>
          </c:extLst>
        </c:ser>
        <c:dLbls>
          <c:showLegendKey val="0"/>
          <c:showVal val="0"/>
          <c:showCatName val="0"/>
          <c:showSerName val="0"/>
          <c:showPercent val="0"/>
          <c:showBubbleSize val="0"/>
        </c:dLbls>
        <c:gapWidth val="20"/>
        <c:overlap val="100"/>
        <c:axId val="1083535775"/>
        <c:axId val="713069231"/>
      </c:barChart>
      <c:catAx>
        <c:axId val="108353577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69231"/>
        <c:crosses val="autoZero"/>
        <c:auto val="1"/>
        <c:lblAlgn val="ctr"/>
        <c:lblOffset val="100"/>
        <c:noMultiLvlLbl val="0"/>
      </c:catAx>
      <c:valAx>
        <c:axId val="713069231"/>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3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Dashboard.xlsx]Pivots!PivotTable6</c:name>
    <c:fmtId val="39"/>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IN" sz="1200" b="1">
                <a:effectLst/>
              </a:rPr>
              <a:t>Which products are popular?</a:t>
            </a:r>
            <a:endParaRPr lang="en-IN"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IN" sz="1200">
                <a:effectLst/>
              </a:rPr>
              <a:t>Overall gender split</a:t>
            </a:r>
          </a:p>
        </c:rich>
      </c:tx>
      <c:overlay val="0"/>
    </c:title>
    <c:autoTitleDeleted val="0"/>
    <c:pivotFmts>
      <c:pivotFmt>
        <c:idx val="0"/>
      </c:pivotFmt>
      <c:pivotFmt>
        <c:idx val="1"/>
      </c:pivotFmt>
      <c:pivotFmt>
        <c:idx val="2"/>
      </c:pivotFmt>
      <c:pivotFmt>
        <c:idx val="3"/>
      </c:pivotFmt>
      <c:pivotFmt>
        <c:idx val="4"/>
      </c:pivotFmt>
      <c:pivotFmt>
        <c:idx val="5"/>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1185862341940112"/>
              <c:y val="-0.10503381206574768"/>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16785782204675007"/>
              <c:y val="0.21458973487482164"/>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1555940958569898"/>
              <c:y val="0.3320085988409508"/>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0.192598748563092"/>
              <c:y val="-0.13414019405754943"/>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Pivots!$B$68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B6-4871-B205-5D3C05EC45A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B6-4871-B205-5D3C05EC45A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5B6-4871-B205-5D3C05EC45A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5B6-4871-B205-5D3C05EC45A9}"/>
              </c:ext>
            </c:extLst>
          </c:dPt>
          <c:dLbls>
            <c:dLbl>
              <c:idx val="0"/>
              <c:layout>
                <c:manualLayout>
                  <c:x val="0.21185862341940112"/>
                  <c:y val="-0.10503381206574768"/>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35B6-4871-B205-5D3C05EC45A9}"/>
                </c:ext>
              </c:extLst>
            </c:dLbl>
            <c:dLbl>
              <c:idx val="1"/>
              <c:layout>
                <c:manualLayout>
                  <c:x val="0.16785782204675007"/>
                  <c:y val="0.21458973487482164"/>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5B6-4871-B205-5D3C05EC45A9}"/>
                </c:ext>
              </c:extLst>
            </c:dLbl>
            <c:dLbl>
              <c:idx val="2"/>
              <c:layout>
                <c:manualLayout>
                  <c:x val="-0.11555940958569898"/>
                  <c:y val="0.3320085988409508"/>
                </c:manualLayout>
              </c:layout>
              <c:spPr>
                <a:noFill/>
                <a:ln>
                  <a:noFill/>
                </a:ln>
                <a:effectLst/>
              </c:spPr>
              <c:txPr>
                <a:bodyPr rot="0" spcFirstLastPara="1" vertOverflow="ellipsis" vert="horz" wrap="square" lIns="38100" tIns="19050" rIns="38100" bIns="19050" anchor="ctr" anchorCtr="0">
                  <a:spAutoFit/>
                </a:bodyPr>
                <a:lstStyle/>
                <a:p>
                  <a:pPr algn="ctr" rtl="0">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5B6-4871-B205-5D3C05EC45A9}"/>
                </c:ext>
              </c:extLst>
            </c:dLbl>
            <c:dLbl>
              <c:idx val="3"/>
              <c:layout>
                <c:manualLayout>
                  <c:x val="-0.192598748563092"/>
                  <c:y val="-0.13414019405754943"/>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5B6-4871-B205-5D3C05EC45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Pivots!$A$69:$A$73</c:f>
              <c:strCache>
                <c:ptCount val="4"/>
                <c:pt idx="1">
                  <c:v>F</c:v>
                </c:pt>
                <c:pt idx="2">
                  <c:v>M</c:v>
                </c:pt>
                <c:pt idx="3">
                  <c:v>O</c:v>
                </c:pt>
              </c:strCache>
            </c:strRef>
          </c:cat>
          <c:val>
            <c:numRef>
              <c:f>Pivots!$B$69:$B$73</c:f>
              <c:numCache>
                <c:formatCode>General</c:formatCode>
                <c:ptCount val="4"/>
                <c:pt idx="0">
                  <c:v>134</c:v>
                </c:pt>
                <c:pt idx="1">
                  <c:v>1312</c:v>
                </c:pt>
                <c:pt idx="2">
                  <c:v>1148</c:v>
                </c:pt>
                <c:pt idx="3">
                  <c:v>72</c:v>
                </c:pt>
              </c:numCache>
            </c:numRef>
          </c:val>
          <c:extLst>
            <c:ext xmlns:c16="http://schemas.microsoft.com/office/drawing/2014/chart" uri="{C3380CC4-5D6E-409C-BE32-E72D297353CC}">
              <c16:uniqueId val="{00000008-35B6-4871-B205-5D3C05EC45A9}"/>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How long we take to ship the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50000"/>
            </a:schemeClr>
          </a:solidFill>
          <a:ln>
            <a:noFill/>
          </a:ln>
          <a:effectLst/>
        </c:spPr>
        <c:marker>
          <c:symbol val="none"/>
        </c:marker>
      </c:pivotFmt>
    </c:pivotFmts>
    <c:plotArea>
      <c:layout/>
      <c:barChart>
        <c:barDir val="col"/>
        <c:grouping val="clustered"/>
        <c:varyColors val="0"/>
        <c:ser>
          <c:idx val="0"/>
          <c:order val="0"/>
          <c:tx>
            <c:strRef>
              <c:f>Pivots!$B$81</c:f>
              <c:strCache>
                <c:ptCount val="1"/>
                <c:pt idx="0">
                  <c:v>Total</c:v>
                </c:pt>
              </c:strCache>
            </c:strRef>
          </c:tx>
          <c:spPr>
            <a:solidFill>
              <a:schemeClr val="accent4">
                <a:lumMod val="50000"/>
              </a:schemeClr>
            </a:solidFill>
            <a:ln>
              <a:noFill/>
            </a:ln>
            <a:effectLst/>
          </c:spPr>
          <c:invertIfNegative val="0"/>
          <c:cat>
            <c:strRef>
              <c:f>Pivots!$A$82:$A$95</c:f>
              <c:strCache>
                <c:ptCount val="13"/>
                <c:pt idx="0">
                  <c:v>0</c:v>
                </c:pt>
                <c:pt idx="1">
                  <c:v>1</c:v>
                </c:pt>
                <c:pt idx="2">
                  <c:v>2</c:v>
                </c:pt>
                <c:pt idx="3">
                  <c:v>3</c:v>
                </c:pt>
                <c:pt idx="4">
                  <c:v>4</c:v>
                </c:pt>
                <c:pt idx="5">
                  <c:v>5</c:v>
                </c:pt>
                <c:pt idx="6">
                  <c:v>6</c:v>
                </c:pt>
                <c:pt idx="7">
                  <c:v>7</c:v>
                </c:pt>
                <c:pt idx="8">
                  <c:v>8</c:v>
                </c:pt>
                <c:pt idx="9">
                  <c:v>9</c:v>
                </c:pt>
                <c:pt idx="10">
                  <c:v>11</c:v>
                </c:pt>
                <c:pt idx="11">
                  <c:v>13</c:v>
                </c:pt>
                <c:pt idx="12">
                  <c:v>14</c:v>
                </c:pt>
              </c:strCache>
            </c:strRef>
          </c:cat>
          <c:val>
            <c:numRef>
              <c:f>Pivots!$B$82:$B$95</c:f>
              <c:numCache>
                <c:formatCode>General</c:formatCode>
                <c:ptCount val="13"/>
                <c:pt idx="0">
                  <c:v>25</c:v>
                </c:pt>
                <c:pt idx="1">
                  <c:v>99</c:v>
                </c:pt>
                <c:pt idx="2">
                  <c:v>80</c:v>
                </c:pt>
                <c:pt idx="3">
                  <c:v>40</c:v>
                </c:pt>
                <c:pt idx="4">
                  <c:v>23</c:v>
                </c:pt>
                <c:pt idx="5">
                  <c:v>9</c:v>
                </c:pt>
                <c:pt idx="6">
                  <c:v>3</c:v>
                </c:pt>
                <c:pt idx="7">
                  <c:v>5</c:v>
                </c:pt>
                <c:pt idx="8">
                  <c:v>1</c:v>
                </c:pt>
                <c:pt idx="9">
                  <c:v>2</c:v>
                </c:pt>
                <c:pt idx="10">
                  <c:v>1</c:v>
                </c:pt>
                <c:pt idx="11">
                  <c:v>2</c:v>
                </c:pt>
                <c:pt idx="12">
                  <c:v>1</c:v>
                </c:pt>
              </c:numCache>
            </c:numRef>
          </c:val>
          <c:extLst>
            <c:ext xmlns:c16="http://schemas.microsoft.com/office/drawing/2014/chart" uri="{C3380CC4-5D6E-409C-BE32-E72D297353CC}">
              <c16:uniqueId val="{00000000-8777-48C1-B276-90D0F52555AE}"/>
            </c:ext>
          </c:extLst>
        </c:ser>
        <c:dLbls>
          <c:showLegendKey val="0"/>
          <c:showVal val="0"/>
          <c:showCatName val="0"/>
          <c:showSerName val="0"/>
          <c:showPercent val="0"/>
          <c:showBubbleSize val="0"/>
        </c:dLbls>
        <c:gapWidth val="10"/>
        <c:overlap val="-27"/>
        <c:axId val="579993391"/>
        <c:axId val="744298303"/>
      </c:barChart>
      <c:catAx>
        <c:axId val="5799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98303"/>
        <c:crosses val="autoZero"/>
        <c:auto val="1"/>
        <c:lblAlgn val="ctr"/>
        <c:lblOffset val="100"/>
        <c:noMultiLvlLbl val="0"/>
      </c:catAx>
      <c:valAx>
        <c:axId val="744298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99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ysClr val="windowText" lastClr="000000"/>
                </a:solidFill>
              </a:rPr>
              <a:t>How happy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Pivots!$B$108:$B$109</c:f>
              <c:strCache>
                <c:ptCount val="1"/>
                <c:pt idx="0">
                  <c:v>1</c:v>
                </c:pt>
              </c:strCache>
            </c:strRef>
          </c:tx>
          <c:spPr>
            <a:solidFill>
              <a:schemeClr val="accent1"/>
            </a:solidFill>
            <a:ln>
              <a:noFill/>
            </a:ln>
            <a:effectLst/>
          </c:spPr>
          <c:invertIfNegative val="0"/>
          <c:cat>
            <c:strRef>
              <c:f>Pivots!$A$110:$A$113</c:f>
              <c:strCache>
                <c:ptCount val="3"/>
                <c:pt idx="0">
                  <c:v>Jan</c:v>
                </c:pt>
                <c:pt idx="1">
                  <c:v>Feb</c:v>
                </c:pt>
                <c:pt idx="2">
                  <c:v>Mar</c:v>
                </c:pt>
              </c:strCache>
            </c:strRef>
          </c:cat>
          <c:val>
            <c:numRef>
              <c:f>Pivots!$B$110:$B$113</c:f>
              <c:numCache>
                <c:formatCode>General</c:formatCode>
                <c:ptCount val="3"/>
                <c:pt idx="2">
                  <c:v>1</c:v>
                </c:pt>
              </c:numCache>
            </c:numRef>
          </c:val>
          <c:extLst>
            <c:ext xmlns:c16="http://schemas.microsoft.com/office/drawing/2014/chart" uri="{C3380CC4-5D6E-409C-BE32-E72D297353CC}">
              <c16:uniqueId val="{00000000-0F85-4E85-B3D6-A8CFEA4B171E}"/>
            </c:ext>
          </c:extLst>
        </c:ser>
        <c:ser>
          <c:idx val="1"/>
          <c:order val="1"/>
          <c:tx>
            <c:strRef>
              <c:f>Pivots!$C$108:$C$109</c:f>
              <c:strCache>
                <c:ptCount val="1"/>
                <c:pt idx="0">
                  <c:v>2</c:v>
                </c:pt>
              </c:strCache>
            </c:strRef>
          </c:tx>
          <c:spPr>
            <a:solidFill>
              <a:schemeClr val="accent2"/>
            </a:solidFill>
            <a:ln>
              <a:noFill/>
            </a:ln>
            <a:effectLst/>
          </c:spPr>
          <c:invertIfNegative val="0"/>
          <c:cat>
            <c:strRef>
              <c:f>Pivots!$A$110:$A$113</c:f>
              <c:strCache>
                <c:ptCount val="3"/>
                <c:pt idx="0">
                  <c:v>Jan</c:v>
                </c:pt>
                <c:pt idx="1">
                  <c:v>Feb</c:v>
                </c:pt>
                <c:pt idx="2">
                  <c:v>Mar</c:v>
                </c:pt>
              </c:strCache>
            </c:strRef>
          </c:cat>
          <c:val>
            <c:numRef>
              <c:f>Pivots!$C$110:$C$113</c:f>
              <c:numCache>
                <c:formatCode>General</c:formatCode>
                <c:ptCount val="3"/>
                <c:pt idx="0">
                  <c:v>5</c:v>
                </c:pt>
                <c:pt idx="1">
                  <c:v>11</c:v>
                </c:pt>
                <c:pt idx="2">
                  <c:v>4</c:v>
                </c:pt>
              </c:numCache>
            </c:numRef>
          </c:val>
          <c:extLst>
            <c:ext xmlns:c16="http://schemas.microsoft.com/office/drawing/2014/chart" uri="{C3380CC4-5D6E-409C-BE32-E72D297353CC}">
              <c16:uniqueId val="{00000001-0F85-4E85-B3D6-A8CFEA4B171E}"/>
            </c:ext>
          </c:extLst>
        </c:ser>
        <c:ser>
          <c:idx val="2"/>
          <c:order val="2"/>
          <c:tx>
            <c:strRef>
              <c:f>Pivots!$D$108:$D$109</c:f>
              <c:strCache>
                <c:ptCount val="1"/>
                <c:pt idx="0">
                  <c:v>3</c:v>
                </c:pt>
              </c:strCache>
            </c:strRef>
          </c:tx>
          <c:spPr>
            <a:solidFill>
              <a:schemeClr val="accent3"/>
            </a:solidFill>
            <a:ln>
              <a:noFill/>
            </a:ln>
            <a:effectLst/>
          </c:spPr>
          <c:invertIfNegative val="0"/>
          <c:cat>
            <c:strRef>
              <c:f>Pivots!$A$110:$A$113</c:f>
              <c:strCache>
                <c:ptCount val="3"/>
                <c:pt idx="0">
                  <c:v>Jan</c:v>
                </c:pt>
                <c:pt idx="1">
                  <c:v>Feb</c:v>
                </c:pt>
                <c:pt idx="2">
                  <c:v>Mar</c:v>
                </c:pt>
              </c:strCache>
            </c:strRef>
          </c:cat>
          <c:val>
            <c:numRef>
              <c:f>Pivots!$D$110:$D$113</c:f>
              <c:numCache>
                <c:formatCode>General</c:formatCode>
                <c:ptCount val="3"/>
                <c:pt idx="0">
                  <c:v>23</c:v>
                </c:pt>
                <c:pt idx="1">
                  <c:v>20</c:v>
                </c:pt>
                <c:pt idx="2">
                  <c:v>15</c:v>
                </c:pt>
              </c:numCache>
            </c:numRef>
          </c:val>
          <c:extLst>
            <c:ext xmlns:c16="http://schemas.microsoft.com/office/drawing/2014/chart" uri="{C3380CC4-5D6E-409C-BE32-E72D297353CC}">
              <c16:uniqueId val="{00000002-0F85-4E85-B3D6-A8CFEA4B171E}"/>
            </c:ext>
          </c:extLst>
        </c:ser>
        <c:ser>
          <c:idx val="3"/>
          <c:order val="3"/>
          <c:tx>
            <c:strRef>
              <c:f>Pivots!$E$108:$E$109</c:f>
              <c:strCache>
                <c:ptCount val="1"/>
                <c:pt idx="0">
                  <c:v>4</c:v>
                </c:pt>
              </c:strCache>
            </c:strRef>
          </c:tx>
          <c:spPr>
            <a:solidFill>
              <a:schemeClr val="accent4"/>
            </a:solidFill>
            <a:ln>
              <a:noFill/>
            </a:ln>
            <a:effectLst/>
          </c:spPr>
          <c:invertIfNegative val="0"/>
          <c:cat>
            <c:strRef>
              <c:f>Pivots!$A$110:$A$113</c:f>
              <c:strCache>
                <c:ptCount val="3"/>
                <c:pt idx="0">
                  <c:v>Jan</c:v>
                </c:pt>
                <c:pt idx="1">
                  <c:v>Feb</c:v>
                </c:pt>
                <c:pt idx="2">
                  <c:v>Mar</c:v>
                </c:pt>
              </c:strCache>
            </c:strRef>
          </c:cat>
          <c:val>
            <c:numRef>
              <c:f>Pivots!$E$110:$E$113</c:f>
              <c:numCache>
                <c:formatCode>General</c:formatCode>
                <c:ptCount val="3"/>
                <c:pt idx="0">
                  <c:v>41</c:v>
                </c:pt>
                <c:pt idx="1">
                  <c:v>38</c:v>
                </c:pt>
                <c:pt idx="2">
                  <c:v>36</c:v>
                </c:pt>
              </c:numCache>
            </c:numRef>
          </c:val>
          <c:extLst>
            <c:ext xmlns:c16="http://schemas.microsoft.com/office/drawing/2014/chart" uri="{C3380CC4-5D6E-409C-BE32-E72D297353CC}">
              <c16:uniqueId val="{00000002-D1E4-4EC9-AC16-61A3B4550229}"/>
            </c:ext>
          </c:extLst>
        </c:ser>
        <c:ser>
          <c:idx val="4"/>
          <c:order val="4"/>
          <c:tx>
            <c:strRef>
              <c:f>Pivots!$F$108:$F$109</c:f>
              <c:strCache>
                <c:ptCount val="1"/>
                <c:pt idx="0">
                  <c:v>5</c:v>
                </c:pt>
              </c:strCache>
            </c:strRef>
          </c:tx>
          <c:spPr>
            <a:solidFill>
              <a:schemeClr val="accent5"/>
            </a:solidFill>
            <a:ln>
              <a:noFill/>
            </a:ln>
            <a:effectLst/>
          </c:spPr>
          <c:invertIfNegative val="0"/>
          <c:cat>
            <c:strRef>
              <c:f>Pivots!$A$110:$A$113</c:f>
              <c:strCache>
                <c:ptCount val="3"/>
                <c:pt idx="0">
                  <c:v>Jan</c:v>
                </c:pt>
                <c:pt idx="1">
                  <c:v>Feb</c:v>
                </c:pt>
                <c:pt idx="2">
                  <c:v>Mar</c:v>
                </c:pt>
              </c:strCache>
            </c:strRef>
          </c:cat>
          <c:val>
            <c:numRef>
              <c:f>Pivots!$F$110:$F$113</c:f>
              <c:numCache>
                <c:formatCode>General</c:formatCode>
                <c:ptCount val="3"/>
                <c:pt idx="0">
                  <c:v>34</c:v>
                </c:pt>
                <c:pt idx="1">
                  <c:v>26</c:v>
                </c:pt>
                <c:pt idx="2">
                  <c:v>37</c:v>
                </c:pt>
              </c:numCache>
            </c:numRef>
          </c:val>
          <c:extLst>
            <c:ext xmlns:c16="http://schemas.microsoft.com/office/drawing/2014/chart" uri="{C3380CC4-5D6E-409C-BE32-E72D297353CC}">
              <c16:uniqueId val="{00000019-4268-48E2-98CC-E1B54EF0DC94}"/>
            </c:ext>
          </c:extLst>
        </c:ser>
        <c:dLbls>
          <c:showLegendKey val="0"/>
          <c:showVal val="0"/>
          <c:showCatName val="0"/>
          <c:showSerName val="0"/>
          <c:showPercent val="0"/>
          <c:showBubbleSize val="0"/>
        </c:dLbls>
        <c:gapWidth val="219"/>
        <c:overlap val="-27"/>
        <c:axId val="426069935"/>
        <c:axId val="572607695"/>
      </c:barChart>
      <c:catAx>
        <c:axId val="4260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07695"/>
        <c:crosses val="autoZero"/>
        <c:auto val="1"/>
        <c:lblAlgn val="ctr"/>
        <c:lblOffset val="100"/>
        <c:noMultiLvlLbl val="0"/>
      </c:catAx>
      <c:valAx>
        <c:axId val="572607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6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Dashboard.xlsx]Pivots!PivotTable2</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Pivots!$B$8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46</c:v>
                </c:pt>
                <c:pt idx="1">
                  <c:v>123</c:v>
                </c:pt>
                <c:pt idx="2">
                  <c:v>166</c:v>
                </c:pt>
                <c:pt idx="3">
                  <c:v>106</c:v>
                </c:pt>
                <c:pt idx="4">
                  <c:v>66</c:v>
                </c:pt>
                <c:pt idx="5">
                  <c:v>103</c:v>
                </c:pt>
                <c:pt idx="6">
                  <c:v>98</c:v>
                </c:pt>
                <c:pt idx="7">
                  <c:v>100</c:v>
                </c:pt>
                <c:pt idx="8">
                  <c:v>82</c:v>
                </c:pt>
                <c:pt idx="9">
                  <c:v>105</c:v>
                </c:pt>
                <c:pt idx="10">
                  <c:v>89</c:v>
                </c:pt>
                <c:pt idx="11">
                  <c:v>123</c:v>
                </c:pt>
                <c:pt idx="12">
                  <c:v>105</c:v>
                </c:pt>
              </c:numCache>
            </c:numRef>
          </c:val>
          <c:smooth val="0"/>
          <c:extLst>
            <c:ext xmlns:c16="http://schemas.microsoft.com/office/drawing/2014/chart" uri="{C3380CC4-5D6E-409C-BE32-E72D297353CC}">
              <c16:uniqueId val="{00000000-9B5C-436B-A69A-E22649F72134}"/>
            </c:ext>
          </c:extLst>
        </c:ser>
        <c:ser>
          <c:idx val="1"/>
          <c:order val="1"/>
          <c:tx>
            <c:strRef>
              <c:f>Pivots!$C$8</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[$$-409]#,##0</c:formatCode>
                <c:ptCount val="13"/>
                <c:pt idx="0">
                  <c:v>2464.5</c:v>
                </c:pt>
                <c:pt idx="1">
                  <c:v>6640.8999999999987</c:v>
                </c:pt>
                <c:pt idx="2">
                  <c:v>11586.4</c:v>
                </c:pt>
                <c:pt idx="3">
                  <c:v>6299.0000000000009</c:v>
                </c:pt>
                <c:pt idx="4">
                  <c:v>3651.5</c:v>
                </c:pt>
                <c:pt idx="5">
                  <c:v>6947.5999999999995</c:v>
                </c:pt>
                <c:pt idx="6">
                  <c:v>5445.5</c:v>
                </c:pt>
                <c:pt idx="7">
                  <c:v>6602.9</c:v>
                </c:pt>
                <c:pt idx="8">
                  <c:v>5227.3999999999996</c:v>
                </c:pt>
                <c:pt idx="9">
                  <c:v>7823.9000000000015</c:v>
                </c:pt>
                <c:pt idx="10">
                  <c:v>5548.7</c:v>
                </c:pt>
                <c:pt idx="11">
                  <c:v>6268.2000000000007</c:v>
                </c:pt>
                <c:pt idx="12">
                  <c:v>6764.4000000000005</c:v>
                </c:pt>
              </c:numCache>
            </c:numRef>
          </c:val>
          <c:smooth val="0"/>
          <c:extLst>
            <c:ext xmlns:c16="http://schemas.microsoft.com/office/drawing/2014/chart" uri="{C3380CC4-5D6E-409C-BE32-E72D297353CC}">
              <c16:uniqueId val="{00000001-9B5C-436B-A69A-E22649F72134}"/>
            </c:ext>
          </c:extLst>
        </c:ser>
        <c:dLbls>
          <c:showLegendKey val="0"/>
          <c:showVal val="0"/>
          <c:showCatName val="0"/>
          <c:showSerName val="0"/>
          <c:showPercent val="0"/>
          <c:showBubbleSize val="0"/>
        </c:dLbls>
        <c:marker val="1"/>
        <c:smooth val="0"/>
        <c:axId val="588651663"/>
        <c:axId val="734886415"/>
      </c:lineChart>
      <c:catAx>
        <c:axId val="58865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86415"/>
        <c:crosses val="autoZero"/>
        <c:auto val="1"/>
        <c:lblAlgn val="ctr"/>
        <c:lblOffset val="100"/>
        <c:noMultiLvlLbl val="0"/>
      </c:catAx>
      <c:valAx>
        <c:axId val="73488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5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Pivots!$B$27</c:f>
              <c:strCache>
                <c:ptCount val="1"/>
                <c:pt idx="0">
                  <c:v>Total</c:v>
                </c:pt>
              </c:strCache>
            </c:strRef>
          </c:tx>
          <c:spPr>
            <a:solidFill>
              <a:schemeClr val="accent1"/>
            </a:solidFill>
            <a:ln>
              <a:noFill/>
            </a:ln>
            <a:effectLst/>
          </c:spPr>
          <c:invertIfNegative val="0"/>
          <c:cat>
            <c:strRef>
              <c:f>Pivots!$A$28:$A$35</c:f>
              <c:strCache>
                <c:ptCount val="7"/>
                <c:pt idx="0">
                  <c:v>1</c:v>
                </c:pt>
                <c:pt idx="1">
                  <c:v>2</c:v>
                </c:pt>
                <c:pt idx="2">
                  <c:v>3</c:v>
                </c:pt>
                <c:pt idx="3">
                  <c:v>4</c:v>
                </c:pt>
                <c:pt idx="4">
                  <c:v>5</c:v>
                </c:pt>
                <c:pt idx="5">
                  <c:v>6 To 10</c:v>
                </c:pt>
                <c:pt idx="6">
                  <c:v>More than10</c:v>
                </c:pt>
              </c:strCache>
            </c:strRef>
          </c:cat>
          <c:val>
            <c:numRef>
              <c:f>Pivots!$B$28:$B$35</c:f>
              <c:numCache>
                <c:formatCode>General</c:formatCode>
                <c:ptCount val="7"/>
                <c:pt idx="0">
                  <c:v>42</c:v>
                </c:pt>
                <c:pt idx="1">
                  <c:v>71</c:v>
                </c:pt>
                <c:pt idx="2">
                  <c:v>54</c:v>
                </c:pt>
                <c:pt idx="3">
                  <c:v>33</c:v>
                </c:pt>
                <c:pt idx="4">
                  <c:v>22</c:v>
                </c:pt>
                <c:pt idx="5">
                  <c:v>48</c:v>
                </c:pt>
                <c:pt idx="6">
                  <c:v>21</c:v>
                </c:pt>
              </c:numCache>
            </c:numRef>
          </c:val>
          <c:extLst>
            <c:ext xmlns:c16="http://schemas.microsoft.com/office/drawing/2014/chart" uri="{C3380CC4-5D6E-409C-BE32-E72D297353CC}">
              <c16:uniqueId val="{00000000-94B7-4775-9DAF-0CA140EB0BBB}"/>
            </c:ext>
          </c:extLst>
        </c:ser>
        <c:dLbls>
          <c:showLegendKey val="0"/>
          <c:showVal val="0"/>
          <c:showCatName val="0"/>
          <c:showSerName val="0"/>
          <c:showPercent val="0"/>
          <c:showBubbleSize val="0"/>
        </c:dLbls>
        <c:gapWidth val="219"/>
        <c:overlap val="-27"/>
        <c:axId val="703944399"/>
        <c:axId val="746492719"/>
      </c:barChart>
      <c:catAx>
        <c:axId val="70394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92719"/>
        <c:crosses val="autoZero"/>
        <c:auto val="1"/>
        <c:lblAlgn val="ctr"/>
        <c:lblOffset val="100"/>
        <c:noMultiLvlLbl val="0"/>
      </c:catAx>
      <c:valAx>
        <c:axId val="74649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94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Dashboard.xlsx]Pivots!PivotTable5</c:name>
    <c:fmtId val="2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Pivots!$B$42:$B$43</c:f>
              <c:strCache>
                <c:ptCount val="1"/>
              </c:strCache>
            </c:strRef>
          </c:tx>
          <c:spPr>
            <a:solidFill>
              <a:schemeClr val="accent1"/>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Pivots!$B$44:$B$64</c:f>
              <c:numCache>
                <c:formatCode>General</c:formatCode>
                <c:ptCount val="20"/>
                <c:pt idx="0">
                  <c:v>10</c:v>
                </c:pt>
                <c:pt idx="1">
                  <c:v>12</c:v>
                </c:pt>
                <c:pt idx="2">
                  <c:v>27</c:v>
                </c:pt>
                <c:pt idx="5">
                  <c:v>6</c:v>
                </c:pt>
                <c:pt idx="6">
                  <c:v>10</c:v>
                </c:pt>
                <c:pt idx="8">
                  <c:v>3</c:v>
                </c:pt>
                <c:pt idx="9">
                  <c:v>17</c:v>
                </c:pt>
                <c:pt idx="10">
                  <c:v>4</c:v>
                </c:pt>
                <c:pt idx="11">
                  <c:v>6</c:v>
                </c:pt>
                <c:pt idx="13">
                  <c:v>10</c:v>
                </c:pt>
                <c:pt idx="14">
                  <c:v>2</c:v>
                </c:pt>
                <c:pt idx="15">
                  <c:v>7</c:v>
                </c:pt>
                <c:pt idx="16">
                  <c:v>5</c:v>
                </c:pt>
                <c:pt idx="17">
                  <c:v>15</c:v>
                </c:pt>
              </c:numCache>
            </c:numRef>
          </c:val>
          <c:extLst>
            <c:ext xmlns:c16="http://schemas.microsoft.com/office/drawing/2014/chart" uri="{C3380CC4-5D6E-409C-BE32-E72D297353CC}">
              <c16:uniqueId val="{00000000-35C2-46CD-9DED-B7C2C3E186A7}"/>
            </c:ext>
          </c:extLst>
        </c:ser>
        <c:ser>
          <c:idx val="1"/>
          <c:order val="1"/>
          <c:tx>
            <c:strRef>
              <c:f>Pivots!$C$42:$C$43</c:f>
              <c:strCache>
                <c:ptCount val="1"/>
                <c:pt idx="0">
                  <c:v>F</c:v>
                </c:pt>
              </c:strCache>
            </c:strRef>
          </c:tx>
          <c:spPr>
            <a:solidFill>
              <a:schemeClr val="accent2"/>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Pivots!$C$44:$C$64</c:f>
              <c:numCache>
                <c:formatCode>General</c:formatCode>
                <c:ptCount val="20"/>
                <c:pt idx="0">
                  <c:v>157</c:v>
                </c:pt>
                <c:pt idx="1">
                  <c:v>175</c:v>
                </c:pt>
                <c:pt idx="2">
                  <c:v>177</c:v>
                </c:pt>
                <c:pt idx="3">
                  <c:v>146</c:v>
                </c:pt>
                <c:pt idx="4">
                  <c:v>42</c:v>
                </c:pt>
                <c:pt idx="5">
                  <c:v>72</c:v>
                </c:pt>
                <c:pt idx="6">
                  <c:v>68</c:v>
                </c:pt>
                <c:pt idx="7">
                  <c:v>55</c:v>
                </c:pt>
                <c:pt idx="8">
                  <c:v>53</c:v>
                </c:pt>
                <c:pt idx="9">
                  <c:v>57</c:v>
                </c:pt>
                <c:pt idx="10">
                  <c:v>57</c:v>
                </c:pt>
                <c:pt idx="11">
                  <c:v>34</c:v>
                </c:pt>
                <c:pt idx="12">
                  <c:v>53</c:v>
                </c:pt>
                <c:pt idx="13">
                  <c:v>42</c:v>
                </c:pt>
                <c:pt idx="14">
                  <c:v>31</c:v>
                </c:pt>
                <c:pt idx="15">
                  <c:v>44</c:v>
                </c:pt>
                <c:pt idx="16">
                  <c:v>11</c:v>
                </c:pt>
                <c:pt idx="17">
                  <c:v>13</c:v>
                </c:pt>
                <c:pt idx="18">
                  <c:v>16</c:v>
                </c:pt>
                <c:pt idx="19">
                  <c:v>9</c:v>
                </c:pt>
              </c:numCache>
            </c:numRef>
          </c:val>
          <c:extLst>
            <c:ext xmlns:c16="http://schemas.microsoft.com/office/drawing/2014/chart" uri="{C3380CC4-5D6E-409C-BE32-E72D297353CC}">
              <c16:uniqueId val="{00000001-35C2-46CD-9DED-B7C2C3E186A7}"/>
            </c:ext>
          </c:extLst>
        </c:ser>
        <c:ser>
          <c:idx val="2"/>
          <c:order val="2"/>
          <c:tx>
            <c:strRef>
              <c:f>Pivots!$D$42:$D$43</c:f>
              <c:strCache>
                <c:ptCount val="1"/>
                <c:pt idx="0">
                  <c:v>M</c:v>
                </c:pt>
              </c:strCache>
            </c:strRef>
          </c:tx>
          <c:spPr>
            <a:solidFill>
              <a:schemeClr val="accent3"/>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Pivots!$D$44:$D$64</c:f>
              <c:numCache>
                <c:formatCode>General</c:formatCode>
                <c:ptCount val="20"/>
                <c:pt idx="0">
                  <c:v>220</c:v>
                </c:pt>
                <c:pt idx="1">
                  <c:v>187</c:v>
                </c:pt>
                <c:pt idx="2">
                  <c:v>80</c:v>
                </c:pt>
                <c:pt idx="3">
                  <c:v>98</c:v>
                </c:pt>
                <c:pt idx="4">
                  <c:v>82</c:v>
                </c:pt>
                <c:pt idx="5">
                  <c:v>52</c:v>
                </c:pt>
                <c:pt idx="6">
                  <c:v>48</c:v>
                </c:pt>
                <c:pt idx="7">
                  <c:v>54</c:v>
                </c:pt>
                <c:pt idx="8">
                  <c:v>45</c:v>
                </c:pt>
                <c:pt idx="9">
                  <c:v>31</c:v>
                </c:pt>
                <c:pt idx="10">
                  <c:v>41</c:v>
                </c:pt>
                <c:pt idx="11">
                  <c:v>50</c:v>
                </c:pt>
                <c:pt idx="12">
                  <c:v>34</c:v>
                </c:pt>
                <c:pt idx="13">
                  <c:v>29</c:v>
                </c:pt>
                <c:pt idx="14">
                  <c:v>26</c:v>
                </c:pt>
                <c:pt idx="15">
                  <c:v>14</c:v>
                </c:pt>
                <c:pt idx="16">
                  <c:v>20</c:v>
                </c:pt>
                <c:pt idx="17">
                  <c:v>9</c:v>
                </c:pt>
                <c:pt idx="18">
                  <c:v>16</c:v>
                </c:pt>
                <c:pt idx="19">
                  <c:v>12</c:v>
                </c:pt>
              </c:numCache>
            </c:numRef>
          </c:val>
          <c:extLst>
            <c:ext xmlns:c16="http://schemas.microsoft.com/office/drawing/2014/chart" uri="{C3380CC4-5D6E-409C-BE32-E72D297353CC}">
              <c16:uniqueId val="{00000002-35C2-46CD-9DED-B7C2C3E186A7}"/>
            </c:ext>
          </c:extLst>
        </c:ser>
        <c:ser>
          <c:idx val="3"/>
          <c:order val="3"/>
          <c:tx>
            <c:strRef>
              <c:f>Pivots!$E$42:$E$43</c:f>
              <c:strCache>
                <c:ptCount val="1"/>
                <c:pt idx="0">
                  <c:v>O</c:v>
                </c:pt>
              </c:strCache>
            </c:strRef>
          </c:tx>
          <c:spPr>
            <a:solidFill>
              <a:schemeClr val="accent4"/>
            </a:solidFill>
            <a:ln>
              <a:noFill/>
            </a:ln>
            <a:effectLst/>
          </c:spPr>
          <c:invertIfNegative val="0"/>
          <c:cat>
            <c:strRef>
              <c:f>Pivots!$A$44:$A$64</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Pivots!$E$44:$E$64</c:f>
              <c:numCache>
                <c:formatCode>General</c:formatCode>
                <c:ptCount val="20"/>
                <c:pt idx="0">
                  <c:v>12</c:v>
                </c:pt>
                <c:pt idx="1">
                  <c:v>8</c:v>
                </c:pt>
                <c:pt idx="3">
                  <c:v>6</c:v>
                </c:pt>
                <c:pt idx="4">
                  <c:v>13</c:v>
                </c:pt>
                <c:pt idx="7">
                  <c:v>5</c:v>
                </c:pt>
                <c:pt idx="8">
                  <c:v>6</c:v>
                </c:pt>
                <c:pt idx="13">
                  <c:v>4</c:v>
                </c:pt>
                <c:pt idx="14">
                  <c:v>15</c:v>
                </c:pt>
                <c:pt idx="16">
                  <c:v>3</c:v>
                </c:pt>
              </c:numCache>
            </c:numRef>
          </c:val>
          <c:extLst>
            <c:ext xmlns:c16="http://schemas.microsoft.com/office/drawing/2014/chart" uri="{C3380CC4-5D6E-409C-BE32-E72D297353CC}">
              <c16:uniqueId val="{00000003-35C2-46CD-9DED-B7C2C3E186A7}"/>
            </c:ext>
          </c:extLst>
        </c:ser>
        <c:dLbls>
          <c:showLegendKey val="0"/>
          <c:showVal val="0"/>
          <c:showCatName val="0"/>
          <c:showSerName val="0"/>
          <c:showPercent val="0"/>
          <c:showBubbleSize val="0"/>
        </c:dLbls>
        <c:gapWidth val="150"/>
        <c:overlap val="100"/>
        <c:axId val="1083535775"/>
        <c:axId val="713069231"/>
      </c:barChart>
      <c:catAx>
        <c:axId val="108353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69231"/>
        <c:crosses val="autoZero"/>
        <c:auto val="1"/>
        <c:lblAlgn val="ctr"/>
        <c:lblOffset val="100"/>
        <c:noMultiLvlLbl val="0"/>
      </c:catAx>
      <c:valAx>
        <c:axId val="713069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3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Dashboard.xlsx]Pivots!PivotTable6</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Pivots!$B$68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E7-435B-87CA-2B9C822D7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E7-435B-87CA-2B9C822D71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E7-435B-87CA-2B9C822D71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E7-435B-87CA-2B9C822D71AB}"/>
              </c:ext>
            </c:extLst>
          </c:dPt>
          <c:cat>
            <c:strRef>
              <c:f>Pivots!$A$69:$A$73</c:f>
              <c:strCache>
                <c:ptCount val="4"/>
                <c:pt idx="1">
                  <c:v>F</c:v>
                </c:pt>
                <c:pt idx="2">
                  <c:v>M</c:v>
                </c:pt>
                <c:pt idx="3">
                  <c:v>O</c:v>
                </c:pt>
              </c:strCache>
            </c:strRef>
          </c:cat>
          <c:val>
            <c:numRef>
              <c:f>Pivots!$B$69:$B$73</c:f>
              <c:numCache>
                <c:formatCode>General</c:formatCode>
                <c:ptCount val="4"/>
                <c:pt idx="0">
                  <c:v>134</c:v>
                </c:pt>
                <c:pt idx="1">
                  <c:v>1312</c:v>
                </c:pt>
                <c:pt idx="2">
                  <c:v>1148</c:v>
                </c:pt>
                <c:pt idx="3">
                  <c:v>72</c:v>
                </c:pt>
              </c:numCache>
            </c:numRef>
          </c:val>
          <c:extLst>
            <c:ext xmlns:c16="http://schemas.microsoft.com/office/drawing/2014/chart" uri="{C3380CC4-5D6E-409C-BE32-E72D297353CC}">
              <c16:uniqueId val="{00000000-A915-409C-9C1A-DD233BC20324}"/>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Pivots!$B$81</c:f>
              <c:strCache>
                <c:ptCount val="1"/>
                <c:pt idx="0">
                  <c:v>Total</c:v>
                </c:pt>
              </c:strCache>
            </c:strRef>
          </c:tx>
          <c:spPr>
            <a:solidFill>
              <a:schemeClr val="accent1"/>
            </a:solidFill>
            <a:ln>
              <a:noFill/>
            </a:ln>
            <a:effectLst/>
          </c:spPr>
          <c:invertIfNegative val="0"/>
          <c:cat>
            <c:strRef>
              <c:f>Pivots!$A$82:$A$95</c:f>
              <c:strCache>
                <c:ptCount val="13"/>
                <c:pt idx="0">
                  <c:v>0</c:v>
                </c:pt>
                <c:pt idx="1">
                  <c:v>1</c:v>
                </c:pt>
                <c:pt idx="2">
                  <c:v>2</c:v>
                </c:pt>
                <c:pt idx="3">
                  <c:v>3</c:v>
                </c:pt>
                <c:pt idx="4">
                  <c:v>4</c:v>
                </c:pt>
                <c:pt idx="5">
                  <c:v>5</c:v>
                </c:pt>
                <c:pt idx="6">
                  <c:v>6</c:v>
                </c:pt>
                <c:pt idx="7">
                  <c:v>7</c:v>
                </c:pt>
                <c:pt idx="8">
                  <c:v>8</c:v>
                </c:pt>
                <c:pt idx="9">
                  <c:v>9</c:v>
                </c:pt>
                <c:pt idx="10">
                  <c:v>11</c:v>
                </c:pt>
                <c:pt idx="11">
                  <c:v>13</c:v>
                </c:pt>
                <c:pt idx="12">
                  <c:v>14</c:v>
                </c:pt>
              </c:strCache>
            </c:strRef>
          </c:cat>
          <c:val>
            <c:numRef>
              <c:f>Pivots!$B$82:$B$95</c:f>
              <c:numCache>
                <c:formatCode>General</c:formatCode>
                <c:ptCount val="13"/>
                <c:pt idx="0">
                  <c:v>25</c:v>
                </c:pt>
                <c:pt idx="1">
                  <c:v>99</c:v>
                </c:pt>
                <c:pt idx="2">
                  <c:v>80</c:v>
                </c:pt>
                <c:pt idx="3">
                  <c:v>40</c:v>
                </c:pt>
                <c:pt idx="4">
                  <c:v>23</c:v>
                </c:pt>
                <c:pt idx="5">
                  <c:v>9</c:v>
                </c:pt>
                <c:pt idx="6">
                  <c:v>3</c:v>
                </c:pt>
                <c:pt idx="7">
                  <c:v>5</c:v>
                </c:pt>
                <c:pt idx="8">
                  <c:v>1</c:v>
                </c:pt>
                <c:pt idx="9">
                  <c:v>2</c:v>
                </c:pt>
                <c:pt idx="10">
                  <c:v>1</c:v>
                </c:pt>
                <c:pt idx="11">
                  <c:v>2</c:v>
                </c:pt>
                <c:pt idx="12">
                  <c:v>1</c:v>
                </c:pt>
              </c:numCache>
            </c:numRef>
          </c:val>
          <c:extLst>
            <c:ext xmlns:c16="http://schemas.microsoft.com/office/drawing/2014/chart" uri="{C3380CC4-5D6E-409C-BE32-E72D297353CC}">
              <c16:uniqueId val="{00000000-6F0F-4522-882C-C6A2F9421199}"/>
            </c:ext>
          </c:extLst>
        </c:ser>
        <c:dLbls>
          <c:showLegendKey val="0"/>
          <c:showVal val="0"/>
          <c:showCatName val="0"/>
          <c:showSerName val="0"/>
          <c:showPercent val="0"/>
          <c:showBubbleSize val="0"/>
        </c:dLbls>
        <c:gapWidth val="219"/>
        <c:overlap val="-27"/>
        <c:axId val="579993391"/>
        <c:axId val="744298303"/>
      </c:barChart>
      <c:catAx>
        <c:axId val="5799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298303"/>
        <c:crosses val="autoZero"/>
        <c:auto val="1"/>
        <c:lblAlgn val="ctr"/>
        <c:lblOffset val="100"/>
        <c:noMultiLvlLbl val="0"/>
      </c:catAx>
      <c:valAx>
        <c:axId val="74429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99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Dashboard.xlsx]Pivots!PivotTable9</c:name>
    <c:fmtId val="1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Pivots!$B$108:$B$109</c:f>
              <c:strCache>
                <c:ptCount val="1"/>
                <c:pt idx="0">
                  <c:v>1</c:v>
                </c:pt>
              </c:strCache>
            </c:strRef>
          </c:tx>
          <c:spPr>
            <a:solidFill>
              <a:schemeClr val="accent1"/>
            </a:solidFill>
            <a:ln>
              <a:noFill/>
            </a:ln>
            <a:effectLst/>
          </c:spPr>
          <c:invertIfNegative val="0"/>
          <c:cat>
            <c:strRef>
              <c:f>Pivots!$A$110:$A$113</c:f>
              <c:strCache>
                <c:ptCount val="3"/>
                <c:pt idx="0">
                  <c:v>Jan</c:v>
                </c:pt>
                <c:pt idx="1">
                  <c:v>Feb</c:v>
                </c:pt>
                <c:pt idx="2">
                  <c:v>Mar</c:v>
                </c:pt>
              </c:strCache>
            </c:strRef>
          </c:cat>
          <c:val>
            <c:numRef>
              <c:f>Pivots!$B$110:$B$113</c:f>
              <c:numCache>
                <c:formatCode>General</c:formatCode>
                <c:ptCount val="3"/>
                <c:pt idx="2">
                  <c:v>1</c:v>
                </c:pt>
              </c:numCache>
            </c:numRef>
          </c:val>
          <c:extLst>
            <c:ext xmlns:c16="http://schemas.microsoft.com/office/drawing/2014/chart" uri="{C3380CC4-5D6E-409C-BE32-E72D297353CC}">
              <c16:uniqueId val="{00000000-26EE-4C24-ACB8-9E072F552CC3}"/>
            </c:ext>
          </c:extLst>
        </c:ser>
        <c:ser>
          <c:idx val="1"/>
          <c:order val="1"/>
          <c:tx>
            <c:strRef>
              <c:f>Pivots!$C$108:$C$109</c:f>
              <c:strCache>
                <c:ptCount val="1"/>
                <c:pt idx="0">
                  <c:v>2</c:v>
                </c:pt>
              </c:strCache>
            </c:strRef>
          </c:tx>
          <c:spPr>
            <a:solidFill>
              <a:schemeClr val="accent2"/>
            </a:solidFill>
            <a:ln>
              <a:noFill/>
            </a:ln>
            <a:effectLst/>
          </c:spPr>
          <c:invertIfNegative val="0"/>
          <c:cat>
            <c:strRef>
              <c:f>Pivots!$A$110:$A$113</c:f>
              <c:strCache>
                <c:ptCount val="3"/>
                <c:pt idx="0">
                  <c:v>Jan</c:v>
                </c:pt>
                <c:pt idx="1">
                  <c:v>Feb</c:v>
                </c:pt>
                <c:pt idx="2">
                  <c:v>Mar</c:v>
                </c:pt>
              </c:strCache>
            </c:strRef>
          </c:cat>
          <c:val>
            <c:numRef>
              <c:f>Pivots!$C$110:$C$113</c:f>
              <c:numCache>
                <c:formatCode>General</c:formatCode>
                <c:ptCount val="3"/>
                <c:pt idx="0">
                  <c:v>5</c:v>
                </c:pt>
                <c:pt idx="1">
                  <c:v>11</c:v>
                </c:pt>
                <c:pt idx="2">
                  <c:v>4</c:v>
                </c:pt>
              </c:numCache>
            </c:numRef>
          </c:val>
          <c:extLst>
            <c:ext xmlns:c16="http://schemas.microsoft.com/office/drawing/2014/chart" uri="{C3380CC4-5D6E-409C-BE32-E72D297353CC}">
              <c16:uniqueId val="{00000001-26EE-4C24-ACB8-9E072F552CC3}"/>
            </c:ext>
          </c:extLst>
        </c:ser>
        <c:ser>
          <c:idx val="2"/>
          <c:order val="2"/>
          <c:tx>
            <c:strRef>
              <c:f>Pivots!$D$108:$D$109</c:f>
              <c:strCache>
                <c:ptCount val="1"/>
                <c:pt idx="0">
                  <c:v>3</c:v>
                </c:pt>
              </c:strCache>
            </c:strRef>
          </c:tx>
          <c:spPr>
            <a:solidFill>
              <a:schemeClr val="accent3"/>
            </a:solidFill>
            <a:ln>
              <a:noFill/>
            </a:ln>
            <a:effectLst/>
          </c:spPr>
          <c:invertIfNegative val="0"/>
          <c:cat>
            <c:strRef>
              <c:f>Pivots!$A$110:$A$113</c:f>
              <c:strCache>
                <c:ptCount val="3"/>
                <c:pt idx="0">
                  <c:v>Jan</c:v>
                </c:pt>
                <c:pt idx="1">
                  <c:v>Feb</c:v>
                </c:pt>
                <c:pt idx="2">
                  <c:v>Mar</c:v>
                </c:pt>
              </c:strCache>
            </c:strRef>
          </c:cat>
          <c:val>
            <c:numRef>
              <c:f>Pivots!$D$110:$D$113</c:f>
              <c:numCache>
                <c:formatCode>General</c:formatCode>
                <c:ptCount val="3"/>
                <c:pt idx="0">
                  <c:v>23</c:v>
                </c:pt>
                <c:pt idx="1">
                  <c:v>20</c:v>
                </c:pt>
                <c:pt idx="2">
                  <c:v>15</c:v>
                </c:pt>
              </c:numCache>
            </c:numRef>
          </c:val>
          <c:extLst>
            <c:ext xmlns:c16="http://schemas.microsoft.com/office/drawing/2014/chart" uri="{C3380CC4-5D6E-409C-BE32-E72D297353CC}">
              <c16:uniqueId val="{00000002-26EE-4C24-ACB8-9E072F552CC3}"/>
            </c:ext>
          </c:extLst>
        </c:ser>
        <c:ser>
          <c:idx val="3"/>
          <c:order val="3"/>
          <c:tx>
            <c:strRef>
              <c:f>Pivots!$E$108:$E$109</c:f>
              <c:strCache>
                <c:ptCount val="1"/>
                <c:pt idx="0">
                  <c:v>4</c:v>
                </c:pt>
              </c:strCache>
            </c:strRef>
          </c:tx>
          <c:spPr>
            <a:solidFill>
              <a:schemeClr val="accent4"/>
            </a:solidFill>
            <a:ln>
              <a:noFill/>
            </a:ln>
            <a:effectLst/>
          </c:spPr>
          <c:invertIfNegative val="0"/>
          <c:cat>
            <c:strRef>
              <c:f>Pivots!$A$110:$A$113</c:f>
              <c:strCache>
                <c:ptCount val="3"/>
                <c:pt idx="0">
                  <c:v>Jan</c:v>
                </c:pt>
                <c:pt idx="1">
                  <c:v>Feb</c:v>
                </c:pt>
                <c:pt idx="2">
                  <c:v>Mar</c:v>
                </c:pt>
              </c:strCache>
            </c:strRef>
          </c:cat>
          <c:val>
            <c:numRef>
              <c:f>Pivots!$E$110:$E$113</c:f>
              <c:numCache>
                <c:formatCode>General</c:formatCode>
                <c:ptCount val="3"/>
                <c:pt idx="0">
                  <c:v>41</c:v>
                </c:pt>
                <c:pt idx="1">
                  <c:v>38</c:v>
                </c:pt>
                <c:pt idx="2">
                  <c:v>36</c:v>
                </c:pt>
              </c:numCache>
            </c:numRef>
          </c:val>
          <c:extLst>
            <c:ext xmlns:c16="http://schemas.microsoft.com/office/drawing/2014/chart" uri="{C3380CC4-5D6E-409C-BE32-E72D297353CC}">
              <c16:uniqueId val="{00000002-69CB-47B2-ADF5-C011C3371462}"/>
            </c:ext>
          </c:extLst>
        </c:ser>
        <c:ser>
          <c:idx val="4"/>
          <c:order val="4"/>
          <c:tx>
            <c:strRef>
              <c:f>Pivots!$F$108:$F$109</c:f>
              <c:strCache>
                <c:ptCount val="1"/>
                <c:pt idx="0">
                  <c:v>5</c:v>
                </c:pt>
              </c:strCache>
            </c:strRef>
          </c:tx>
          <c:spPr>
            <a:solidFill>
              <a:schemeClr val="accent5"/>
            </a:solidFill>
            <a:ln>
              <a:noFill/>
            </a:ln>
            <a:effectLst/>
          </c:spPr>
          <c:invertIfNegative val="0"/>
          <c:cat>
            <c:strRef>
              <c:f>Pivots!$A$110:$A$113</c:f>
              <c:strCache>
                <c:ptCount val="3"/>
                <c:pt idx="0">
                  <c:v>Jan</c:v>
                </c:pt>
                <c:pt idx="1">
                  <c:v>Feb</c:v>
                </c:pt>
                <c:pt idx="2">
                  <c:v>Mar</c:v>
                </c:pt>
              </c:strCache>
            </c:strRef>
          </c:cat>
          <c:val>
            <c:numRef>
              <c:f>Pivots!$F$110:$F$113</c:f>
              <c:numCache>
                <c:formatCode>General</c:formatCode>
                <c:ptCount val="3"/>
                <c:pt idx="0">
                  <c:v>34</c:v>
                </c:pt>
                <c:pt idx="1">
                  <c:v>26</c:v>
                </c:pt>
                <c:pt idx="2">
                  <c:v>37</c:v>
                </c:pt>
              </c:numCache>
            </c:numRef>
          </c:val>
          <c:extLst>
            <c:ext xmlns:c16="http://schemas.microsoft.com/office/drawing/2014/chart" uri="{C3380CC4-5D6E-409C-BE32-E72D297353CC}">
              <c16:uniqueId val="{00000019-6632-4D32-A770-E73814FF87A0}"/>
            </c:ext>
          </c:extLst>
        </c:ser>
        <c:dLbls>
          <c:showLegendKey val="0"/>
          <c:showVal val="0"/>
          <c:showCatName val="0"/>
          <c:showSerName val="0"/>
          <c:showPercent val="0"/>
          <c:showBubbleSize val="0"/>
        </c:dLbls>
        <c:gapWidth val="219"/>
        <c:overlap val="-27"/>
        <c:axId val="426069935"/>
        <c:axId val="572607695"/>
      </c:barChart>
      <c:catAx>
        <c:axId val="4260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07695"/>
        <c:crosses val="autoZero"/>
        <c:auto val="1"/>
        <c:lblAlgn val="ctr"/>
        <c:lblOffset val="100"/>
        <c:noMultiLvlLbl val="0"/>
      </c:catAx>
      <c:valAx>
        <c:axId val="57260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EC558C0-EE7A-487D-8E18-3E87A15921CA}">
          <cx:tx>
            <cx:txData>
              <cx:f>_xlchart.v5.2</cx:f>
              <cx:v/>
            </cx:txData>
          </cx:tx>
          <cx:dataId val="0"/>
          <cx:layoutPr>
            <cx:geography cultureLanguage="en-US" cultureRegion="IN" attribution="Powered by Bing">
              <cx:geoCache provider="{E9337A44-BEBE-4D9F-B70C-5C5E7DAFC167}">
                <cx:binary>3Htpb9xIsu1fMfz5UZ17MgfTA0ySrEVVKq22li9EWZa475ncfv2LsrvdkqyWunHf4OGO0IBbYpGZ
jOXEiRNZ/7wf/3GfP+zbD2ORl90/7sdfP8bG1P/45ZfuPn4o9t1Rkdy3VVc9mqP7qvilenxM7h9+
+druh6SMfiEIs1/u431rHsaP//onPC16qLbV/d4kVXluH9rp4qGzueneuPbqpQ/7r0VS+kln2uTe
4F8/evs8eazaMtl/fH6N/PpxW3Uf/l1GD/lD98GrbGmmjx8eSpOY6WqqH379+OxZ5OOHX14u+dP2
PuTwBsZ+hZspO0KcEOoyrr79uB8/5FUZ/XbZwdg9IoxSJrFEhx/8++K7fQH3/83Nfdva/uvX9qHr
4EW//fv6Q569FRjo33/NMPcHAx38EoGLfv34qUzMw9cPl2ZvHrqPH5Ku+mbBdvKqw9t/uvxmrl+e
e/Zf/3zxBzDgi788cf5La7936bl/3/E9bLxMunxv/xOul0eCIUm5oN88iyB2nrme4COEDs6XEBTf
I+670//erl73+SvP+Asuf+Wu/zKP/zuHvPq6/w9kujxyEXOJK+j3TJcv3U2OiCRMCoiDp97+Gzt6
3dUvH/AX/Pzylv8yJ3sVgNTBx535T3jaPULYVQoS93VMJ+QIU+ZyiV8k9t/d1+v+fvUpf8Hpr973
v8Dzb2/x2Ysf4B4q2Z+W779bveUR4UwIhdV3CIfq/AzCsToSWBKJGf4eCr+v/R3In9KOP9/Tn3j5
zyjL91d82yj/+wrxvvygH9py335Nyuo/gM7sCCOXYpf+VozpS0+CqxVDSqrnLrz82xt73Z1/8pxn
0fs6DfuTO/8LA8BPHqL/hO/JkcRcckV+It/yCAvqQlT8xs5/9v1f3tOfu/35I/6ix5/f9N/n7ENh
zvffirT9f9xyyaNDP6Uoghp9+HnpdeDdrutixhn/yd9/Z1t/6vGfHvLXfP7Tbf8/vP7njdiPNtff
m33wrUF+0ou9ffWbqaC5f3HrnxfqHxx5/fXXjxghyhEDyP7Rex8e9IxFX8Z7IHu/+/P5XQ9w6deP
DgbHU6wEdgnhgPRCfPwwPPx2iR4h4UrF4ApzgcV//FBWrYl//cjwEYbunbuucBlyCYJtdJX9dgkd
EZdToVxJEYPb+Q8V46zKp6gqf1jlt98/lLY4q5LSdL9+5BR9/FB//9xhvxxxBt2BC0qA4JRIV4ER
6vv9BUgl8HH8f8hh8Tpv8jOUy1RzZjuN2fC5lyJamsY5rWPU6m5OTrKcjLqd3FUzRXXgzrjz+9F9
qGxyori6YlmZeyVuXH+iqtZdNOvKpSs3twthwqAY8WoY4N/CyfTgFD6l+LbjxhPJEGs6xkE3NvtY
pieTsQ8yjYNB0cA4UaonXJ80I7uHxncZTSrRtKsyz0kKu0rrdtUqtenSKKgIX8wkDRzaxhrzfitI
9UkO/W4gsfWmliXLeCb7vEULgtBNjHq+kGFovboppmWL88hT3I01E90xH02/cMN6Y4izUjQNsji9
DHtTeyOlQ9DX43mJWaQ7t14MokCrAja3oZIQb3aH2XdKXGqnkKeK5l9JEtfLifBMJ1FGtTOFV21e
Pea1HX1UDo4uu/QkY2PlJxHJgrKvcy+uJffkWE1aTm6QOdNxzE3pR0P+yfDWOS6a0rdudR63caNL
Vx3j3om05OZEleSqie2SmPE8GRMnsLMz6akYlmh2H7EzDtoh5fkYl4VmrrpNU3wxdbWjm7CSns1p
4U2CXs1FcpuVjT/kBdWJm0lNk2QLjHSTNuix62axSueR+SSxUxB3ItI4pOcQwddxCvuPJpHpOapm
T9RsZUVV67qkLCg6+1Cl2drpcn+IWs2SLtGTwcJDCayDxk5PoSp1VcY34VRcjC0bvcqtSz1Tu4wi
mekGkF2bSXF/SOG+nBrl4yJjy6Kyp1XlXnMcgt87qzM8NhoV9S22ydakybZNVLJ2Iux6XJjEZ6Sc
teom4hUONTo19TKk1a6M1bZJuFznTlfqqEt2KK1um7RJFk2eFdomrT+y0hMDbHTo50zjvF81GJ0R
0nk1H4pVhsNNG9l1V9afrNMvq648iatqwcSotFsknRd1vQqYGFot8hj5Lupv5iZ56HriOem4HJJ6
8tOyyXUpqlM0wVtN8qxqBuNlqr90s3xh0HEz70x/EjrJYkJqHY3lKeblGenDVc7nU8cK5fdTvyS5
odra1rNVPPtkbnMt0jyHAE1CTzhxqBslwOTw0LLgtecKUngDs8IvUP8YZ2PmjwWVAakPqZp1X8ZU
+EPlPsp0tOvKaVIvtEotccnXMW64P4esaDWZaKLdUo1LxxmjgI809CoZDwvluHTR1kRHY2yOqzBL
F0XPvlpu2MLG2deK9jfNbO9nOaRB1eWFjuhwNtm09tJE9N5khAkAjnrqcVuSdkOi3GwAexo/dWup
k7FpiC4Ls+ZlkYoFtbXgn3qUue4yZi1eWjbVkEtNifUox3YOXBuNOHBLh4266UFZXTEXT7VuKZ+T
nVMWk71UqMDmclCtQzd2tNVm4GUe37QzI/1pZupVFRns1emUBxXL2CJJeKQbNO9xG110Ie09k43H
jJV20TrtuHQdseFyTHzuMqZtLu6bqup0ZkSji5TdZI5wvbjvU43RLI5pBcGclW6m4eNIT7y6q0O2
j9OW+MZNC03n5tGouPdoXCHNyoFohPpMt6YdvSkbT6a688dEpYusdk5Y2Z47od0UbnXXJ8Pj7FBv
GKdUd3hEOqp57nV0PI6nNUdDoZWs90lWXYgkHLQhPA4o9KjamOESkXQXdmrrpNNtHpPHGSN4SsQf
s774XKLEd+ZjMo2pz3gbhFF7kY0APShGehz9Md/ksTxBWY58NVb7IZrXMaWtNzqj8JpkLjUE407I
bPYFV1GAHOecQMX0B8lnPxntyYymjeJj6IEV6pUsm1J3FTJLynrAdlb7UiUymNsJcil0rkzmzzy6
Jm3ngCXT0I+dLPXdTA2weGu1ytSKzgp785i7Ph2SyBvcsTotxnoIZDVsa9cQ7bp9pCMsT5OhPLG5
LLyxDk9Vmeiu6FaRNXuhhikgfXY55U4TzEWUB6GCAsJT+ym0tvPtUF5XeXWcOhns0c43tlHxArKO
QQzMleaIOF5bgQau1CcA6AWq821WxEaTiK5oWn1q+mTpJHL0+gitm4Ge9W59oXj1JYFCp0H73zFk
NoxD3vUlC5fhjFuPo3YdOT2UBDNEmnCV6jjL1opPru6j0ktd0iw7ngxewrrTLLFnwEQWJTGf+wKv
6qyJPWYJBKBlY5Chog9At2p8lYVy6URwVfZp5YusX5aOg5eCxO7agEG9Ls5PUd2l2pXm2JZlqxuh
jmU3fsrLCgVTBUUQIGvhJHO0dAa8yUslvGmQkW4h0zYRJmcCm1g7Xd1oU6JiPZOc6j4MsZ5oE3qp
pGvGkrPYpp8dVEULp3RLDSAHAMeH1VwQSAnunpG2n30X08IX1XhfVtE15c1pV8r7mdH7UaBF3Ymb
KotuqqgWvqHJOizqG1S5K8ray8ElG5o6HiVT5qE83pB22EdFvrSSPKhsPo5scj5j2Whl0GXJDiDu
8AVgfew9HV08o3P3VT21SRT/Npf68eu/rqoC/vs2y/jjj4ex1h+/LR+qgzTUvfzQgXb/+NQf85AD
zf0xHHlBnr/Pxv6EWb958e/RbmCpb9DufQlEXO/bL9DLvcK+4ebf2TdoZYhIJiljSiJ54NE/2Dc6
EpIgJQgnjIGY9oN9U36EMXTn0v2NZYOq/hv7pvSICSJA1aGSIQKP/Tvsm73k3ooTRIjLJJQUJSjs
7in3pjF2BjMVbBcXd3O3G8fbJ2Z5hd0z/BO7V6D+U8JBhCKKgzj8fAUbdsyEfLQ7O/OAkPpxqtku
D9ML3ppH02K/TdvELxhtfOyUayLVqm3SwMq61sIR1bIa6LKU7crp0FVqAZ+6+quT40QTtbUcKktn
skHPkNu4xzzb0t409DQqumrQY9LrCIzo8Rgo9oJW09zpAfH1GHfh48DRCaVFLPzJJNKHxM2/NiQP
dTbjPGAdcXWLIucmzaFbUBm7t/FYLAyWkceyuNlgNVQAwe6prKUT5G57o9qIBtCQxbpmbDhLxwFr
SiqzwC2FNqItN32b3GWEbGF66itVTNsh6psV4M+qLM3st2FzFfJ8SaHdceOI6nku7xw0cGiJxsci
c07NqCqA+HleWOb6UW0uJZReB9Vr2qi7DDmrsrbHpkYVUJPpfMzcY6DJwCLn1scmO26k3Ie4hxoq
01WkHN9myd50YaE7yTTj7iqP0lNnhtvLwY9Dcttl0bGyclU0fMtKIFct6U9yCuWwoEFbNysxNVJX
TH1Ok9ms5iw/a8Mqg5Yt3pgE3dYNMd7kpMfMYVcmx5kmM82ALbDLhJaVF3fQe1k3WU95k2iecq7D
VCxRk3S6EtmdZSoYUOuBL2INTWa/iKPyeJxbT7H+mlVAG2K+E5247cwM9YJdxEVYahsWS8n6k3ho
19U0ADlNr+N+inShhlXeD9uY5JcCV4U2aX5Nyu4zDuW1CO2iasWxO/OFM7Z3ghkgYUYtHdrdVvDy
ZCqATk7z1yyXwSRjrw25T7NxWw+pq20T1ZpNQC+M2xHNZKgjIe8gCxZpkt5GYZjqsTPpwrEWwqZ5
hKKzck0aMFrf2RbdOg667OQERCtMobtVHuL5lzkLz7MCzzqeom2WttkSR3WmmSOvYqhrTW1jL0qg
UUVF8UXhItFOHffQIUt+4o5deZwkAlrCGvc+F5epYje27qA4kbbWeX3InhRYFE43jq1dTZqh8Xkz
ttrB/GJ0ncizk803UOMzPQraBSqve01YEgZDJ3aRISJIuPgMUkPkqyZ0v7TK9EEM6mSl+1pYyO+2
DzuvmJxw0mnSJ7uxTcS2qQWQLjAFcPo68lony/w0r2KfxbLVuXVQYGbW6dKE2UUFTYHRhUUb4NLa
jSeiTdNujBlPgWN169KOTGNaAlslTbcCZSMNosRuBY563WV1ucQzX4bjrIJ5JFhbltdBZZqKQIHO
T2WO8syDhut8hkbWC8P6ns/T5zake5k1K8C3kzTGhaew4/jAqLZhBhwE55jrTPDRM3lVXFbcOpCq
MsyvbVZeDH07eISIU5a4GpDFa1PmU4mtX9XlRjbQ0BAMm5bDeWlp5NWy1oBRx1ED/RNtgrRPvXo2
2zx1ljGPT1COrrMW+LVFx4MK82U5ZnfAILnuEgMkMRQbbNCoQ5bIL/XggBYwN9DesmYorjJcDIs+
oUsqq8QDrg7c3p2zYE6S9mR2sx0l9SpT3TluROflXafHwkLXO3AfIG9NcGiDiIp2nU/9J+HUVwX0
aBaa0dzvWhsH02AKBZhjjwckqruSGQfw13lsOuguJwstHyzH/LYW7LSiORymmDLZr/o0BqLGQAAB
6I+vwwZWIDa/Kgua+Biq57Gd2vQ4T6NdqTh025K6a5sRkEkqecWbKoX/S9msC9I1/sTCcMGz5kqE
05Vb8vlmDsvEy23VLbiNsJbDuDCT6yxr1JfLamoqL4cbddtze9MmubsY3SmZvRxEIahKsVmxvgQX
D/WCukXrT0V1K/p6XQ7JYpRTYLtDcyyPs2b6hOI06JMs0lUdf7I5uXKBUG/GaeyhRU1bvwrzyatt
OugaoVsQ2KhPR9bcWFFjv66KWWcxBLpMbK2dkN6QUZnLkPBx4VpHealFU/B2eQbl94n05jIFhzAE
BqqhYE5AsYAp0NPyT4oC5gRRWu4MdCB8nNdcDOdD2y3eXoa8vg6DaYQEVe1nEmDkXGRRXO6KPD/p
BPkEqHTmFsUdwGWrh0mBA6Z81Y/1InezVUfibdxDj0PKDSDVloedTlV2Hof2QjQooCCnWWV0GYWg
/okeFBuu2ezuBIqArv3gda8QmFd3zgkkJYM2RRxOszy1EC9slRiVlbuhgHZrukJp4cXV9u1FDtr8
cz/AAI5RRQ5iquQQ6M9X6WxWT0Vm+10dxZ12BFvTCoABhQ3Ujb7nQej0N06dV+elghhUaD24A9PV
VANQUXQ+p8UidmZ7bmOqLkuoSrbqdw7COWTJAKWcpLPmVbRLnOR4DDnYnEDeiGLINehY8wXH+T4z
uQcaZLKch0aHHRZBnCdZkBl677RkwcfWgtbVCD0xaE6rhi7TuAXpKaqB2sRi3czkIWFyP0quLUcJ
KBv5yTTLXks5OSuEh/QExXWh59HGwJtA/4pVKn2cRJ9Di4urZuBQP3C05UXNF52ozUpg0DorKHG4
pnpKZRbUiJxyJEt/nEeQ/Gi+DdHegmwDchng4q3rgFojB7yaUnabgxIblDWIbLVoNXWQD/0VFDFI
M19GtvJHp1i1puC6wOOxRf0+S0h8P+V8iURT+DKPT0g15yD4NouEdkpbMl4UQuQ7ZbHGYh43jexO
3g4H/Go8QEK6EA4uwt8meE+jLqROVcI1s5OY7KnqCn+u+3wnnKbTgKd3UQdabtnFHhaj7yZ5qwFR
T8Aqsw7jTK5I1J0YZ9bDTE545d5QVsaLruDNwlrE1gUnVkcJKIm927sBqlixIlDU/QEnje+2DvAR
ACJUVKWX8OYyKpLRw3FXQTUAdd5A91vWzUIUMxyDFHtFOPd6DOJtW5BPgkzAnafIpwZDe9s1XstB
cW8HcZO6Yj2E5KuQY6brAWBA5StRjlehSreyb72mopeCTxAhtbYTueR9f5Kl8SWIoReFVEsxmRs3
y5gG3ogC0Vjggk0fdHboPZd3oA2mjo9CApVDOHsHYsKrFb3F1LnBcd/4jZlpEEu06Gdn1M5YBZi1
S4TStSr7gFRSQzXyWWaQ57rDRrYpmKSHeURegzBtruhQ75Q7rrtq2tMB3Te03ZdSBHyCfdrSz/rs
tIrHrSzFYqiYH8sk9ZJSekQl5yB6ZevJnUFQnAKRh35RA6GpRAR9CSRj76jzoTGPiXRC0NwRiBzp
whibeaKLfRIZD2OxFR1dJhR0RhdHRcCiGWRSYKiZjbcODoMMD9dVZXTkJGc8ZjqKqwXJnE0BVTwe
opWL89u+7hZNpEsFUoWPMVTNPBwWBsp72Ra1b0FN9fPMWaaDu5nTTIN6VesBR4PXIQDdmeBFil3N
B/csdPEqKs0GlMxt6XJgvSZ3TvN6qFdTLo9ZNGxqkjYeB9VV0zrB3oDSVVwPJyC/n7W58FJaBJWV
pRcOZ4IHMhuAx+yKcSGmRcVWoeyvawQ6WYFOBG/bYAzZNo2H7iC6hBtLeul1HGNPpmG5BCncr4E3
rKrJdP4k5KrtgYXIyoxahn3Qhy1+p7S9htxPMvXbcOvp8CpWU6rqzO4E1P2+OynK0Rv7QofDadae
YOhY3sYGaPx/qhRP13vRTpM4LqG7AGSoqgcsv/bjRa+2ZXQzsNXbC/FDzfljLAfcAGqSgGkxHPNx
pYRR4POaNHSmb1LUj7sZT1FQJ2PnJSG54l1UrePKgZgb+01dJ0hXGOETt3E5iPqVA83EjIIBnut1
2HmE4eL5WFKQ9qj97CTVaYXkZQ70Dboez3Tkcoy60S9NtChMclem7NqJ8/oislkf8Dg2y4LbDU+R
BmIRTBgNHlC8ZWmovFZEXdZz7oOScmypWSeUbOYI9OJanQ5ZtGmhbEsn22SkhGRytBO7IJLi66Ju
gyQP10ONdZqPrja82IOIy718iG6bUbXXJApNQDoavWPV53rLz0aFWexTYM8EK5M2dMedO97F85fJ
PX7ba+89/xCuT8IROTlw5Cibdol7WadKN/TT2wv8xIeeR4V4EX+FKDKUkWjacXKWMKzBTCievquK
389Dv0K6Dlb4OfRg9AyUFHNXvAi9UXZD3DF4C0U8Yu7NUAAn+ZSM8h1vkOcxDqNnxamUHEOpVUBN
8YuFpjQpQe+vyQ5ozD0UNf8qX4S+E/Q68a51qa/Xwuu3Xy4SL/48Bvs8mL5ARncrun7bquSgs718
4ydp/W2jT/ym+kTVKgIYMYveRx4Kxku7LM7jhQqUl7cLvAQ7L7DXaqTjQPl1H7Bdef/2Lvhru3ia
8gfwebKLPOxyl7Rg95txTQIYrizUmdSnHdOxv7zm3hbmcUu1ixfjqrzkq6vQj5bjCnBPz8tK6c4H
6cxXvrO1q3LZncY6HnXkf6603SFvWvK1WsPQatV+KhaXb2+dvhf4Lxi0Q7okr50E4lJXul50D/Wi
vsJ+46U+DFj8JCgXxXG1PLvfBnbNPWjY0+NUq+N0F3lQfAIYFn8Nvc9v74o8Fz9/SndxuP7EoElS
9a0UsKt4rXTszatiGV6VSGdeVWmhQ916k86X7q5ZkTsQ0oK31389Wf/IoxdoA1DjwGB9GndorgI5
DJvZyXa9RdU7RemAKi+jV8D5kd/z9QXquIlL+37Opx1wat0P92hcDeLLRIMGGZCiFm+/1euu/rHa
S0XZKQD8eZPaXQyz+Cm8qKPz/9kCL3o+Orq5EAU0UBnfkBR0QCX9t1d4xzHykIhP4sIpareUEyRa
Ve+6IlvU5Ga27jteec9OL8Ctw3mX9jI1u/HglTn31Jh6/7P3eBFgtpo7W3bFtBv60UvErshGby7O
3l7kneiSL1BJhJEzgTgH1QAGskyVMHg3p5RaT06dlw5k10fJO6Z71T9cYXk4PYsUe7GkSyUNa/gy
044Vjy2Mq2kMIt/y7dd61T1P1niRNHmkOqeJ2bjjKQP9/rwo3lEV3lvgBSTOWTHCjLbpdwhAG8To
jObvmOlbfXwr8V/EcZzA0CfMIY6hN9CNFx33q+wEWgTvuPXiIDq1uti8bTX6TjSIw1s/SR0M+h82
JIYadQPCcAmoehLB2nrY4+287vXZ7NVwQfOg8LB2zx19YYJDVT+7bc7oMXTtsU6DyehV6cXL97b3
aiF/CoUvIydpB4RDSDp8eijkju6WOVuX2NPZkvnXpT6GwfXmEX2B5qz9NG0GPbyDXuQAT2855YXf
e6cTcaMm4BJ+78/+NGsitNrk/oXaiS1dWv+WLEJdgmK7aJf10vWcdxD6vS3IF3XPGa0Dxz9qs3M2
lR59UDbTr3yBfbmxD+OqDootjOqXzmN0S71xmZ1GfvrwTpy8Xnr/qBIv4iTracG6EkKzXYyLRmOd
HFjdOvOu+vW4XicH0rIzhb5Gi8ovFvVSnlnd+jaI14OO7/J3kJIeiPFPXvkj3fkLk7iOgtlQCZDS
BGwpliL3x8W8mLfJBuv7aB0uMs9d1ysQ9bajJz8FLrCDMjDLbHGZ+AeS8Bs5+O0k69n3tb+fxHw6
Yn86cf/vHN1TQPMfEu/PJ2bhmw3fTpn/PLY/3PhjbC+OkAvoD+NxUBPhKMYfY3ssj6BvcKFn4Aoo
z5NDszCbh54Cxv1SIqUEFI4/xvbkiFNG4UtyiEmXYy7+ztgevlf1LJxgS/AwGNkfDgGA2irRi/BO
0jSG4yyGnmBXFLEHIw8DCpEVPDsukmKoiYf7Wba9Zqgmow+qwXxpKyDscRltqU3lPotLjxoAbdTc
pTLH+GzAXR3ptJ9A3+v6Up0WlYGzJNTmyboxE7mC47sOX+MOtY5WyjGnRUjD42wSCJrlLEvxZSJV
zqAJn/PuXpWRGE5aWrf8vIbDKb0o84ewbxK/KhObezC/tukSpS5eqMZN+gvTTGbNYBwDGsIcZ3MQ
osnezUxaEKGaGG2IVXCqsWlS5ZXlEAfxqEBdbFoTwGgk2XAzsW0YzrWFaUGo4OuvcJAShl/hMMMk
WMxeVsb2LCZ8P03lncyi+1SwIpBMFR7MFB9qUzwIVWGj+6JhXweTeC4qPdJEw7qcEV8YOB50N4hI
6J6gJPGGzGLPVUOq4YvR7jV2khrOCQzh/QiHBFcdLck6dkJQ5jJyOJHZyp1s7Lie67pZMt5XHhwD
gpFmBpoRd+tYg8IOx0H7ECaNXe0L43rd0IW+a4qNaxXI+GErTybO53XGcpiFg2armYqXMmkK3cLR
XU0nN4XvB8LcTpaZX7vqwWWxs3T7eZVjdUrh9OJyCgdg5UA7dRS2THdsvGExC/1smEGqF3xZYTVq
a2CmGbfDLqOj8VAcj57K+ei3MMAIUqcmpyjKsktn4PSiFOL/snduzXXiWtf+RXSJg5C4/Dis8/Ja
tpM49g2V2A5HIRAgEL/+HWTv7u24s5Pq+m73TVelHYd1ENKcYz5j0LyWxFOggovmodSeioqie2mM
Lv91/v9v1yI4EP77rvX/6rZocAT+y073H85//a2/tqzgD6h1ro8hFePud2L/DWlEGFR4SlfHnmOj
JPg35+/yP+DohD2MupiIc/BI/9my+B/uOpFaR4NB8J1P+hO7+uF0gcHh339+y/lDt3m3ZVEYEFiA
F8htvE57NQS/rdwyBZi2dHl9sezuEVEBwA7G+qtt6L62RROWuEExSE4YZGSi2WZxs1NgupuJY/KW
TqLbi3WZjxmYRDY6m4ySDcG8YCq0k3AmR0CI5kSGNPYtwN6FPXwquNNGtV2fctrVkbbUrq76L8LH
4Gi0vRfMCUBLWyKLMjofZ65fcD93Ea+IiYnrJr7RGOabZknIaNWxElj+Dh+HiI3BGHmG+NEgG7Np
pLk6uC0h0tcAcykmVdnwGbfNHPeNeZHEP9jAV+Nubtow030VCpA9NF/GsGHBFajng04X7Ly8qMI8
t6awZgP+6JdFtGSglIXIMBJI9242bAyTgAnXqb4zzZ+WPDsPrDm2cArkeE8YCRYKo3DnbiqqWGeY
EVSNc05t50NqaohLNSb2GDzrcOj1ELaVxUPPc3fCNUWU8vaBg+2PfGKyMYso9ursfnDK9ol00yez
eNMRWMuldQdUtTZmh2WnnuZM74um2op28kNvpDL0JgPJx02dME/5Oc+cT27Xg/8upgtGm35SVSMg
cLpkyRIAjMhUgFpQjneulb/QOpVbiLeRPVbVEcOlYf7SBmbjtf6X3rhyC0hmW499BvJoEvJTYOfN
PbrDtnotsuVlmvO7xcVxxMYW05xK5Zx/UTb4YKzvPRkaspsHR14clQYXT6T9wQQpmkrMPibm75AB
AYgmJ9D7vMDcuOXCirCQsC7UlD1MAKJYIfKzO8vXbtHODojnOrr2eb78q7X63z639pD/fZ87fal+
ssutv/PnLgeXuesR2/dWexJwStTZf+1ycDPBymRTFy44H3/jP7sctkYOWASeZfyQALh8u8v5PkNB
hWYfkRWo6f5JYea+609R/uGExA3kYm4L8zQIzh93ucB1bJd0Db1Uus6OVia69H6eYWTZ+U5RbSfc
baFhXhZhXhJnRV3vPUUncDMW3VWpkHthHHGeJhJUGE5wsplHrEmP0TJ0hX3iFIDTVOImrwDBWUFJ
z2xJu3CuCeaxGQ2zodoEC3+lJeaW2kxZnKbeIiI/z47NPB3Lpt5YXK/VQzneDbrfO3r2n+oZVpK+
zIHa2eW2JnK3uO12crK7zm7GmPhmiXun1FEj1G5Y7JugD15ZOt4WLr+AJdo7nN0X4Gos2X+2Mt4e
m1QeuzzYq9wr9kAlP9dDFnErvxcO/ZgVfA4hyoPdqdz23u6zR4f4e5e3SUnSRzdAeEnugqrWHTTl
QU/bPi/wmj24gFwYGZSCy4LJ4Ni5ucZt7hyrvr7paqcMWZmdO+F9UflwGZbm27AOpoJBRoucJuiF
7UGwikWobXeo72OC/jiwHRYGS5MllVN+ZK1rg9IyhyW1PnOV35rJS6N8KPdjhg0c8/4lCUwOc1kz
h62dYog5yZ0zdY+VybaVtFCouWrZZKZeoqzNn3uB0bZpbRo3ttn6QDAg/rhbwZ2bpvVgJBhqKNRK
fWrT3Etc9W30Ddn5lR/ArdChTKN+DP/cN2vuC+xVwaWrxy4Et9VEmnUfuOLWycIkvaLqts76XaDX
uh/lJfxELKJZA+KBZOYJJ9mBZ94Lo727smVBZMvl0VPtgWbe00yW245bH7SyH6c2VaAe829MeJjD
TlWQgJu/Eczsqh4GIuXZkN7G6XXmoFGBCWbwi2Wb0hmfDWrG0KXuhunq2aAUkWGpWrVxCr//qgPi
nGZK8xog3wx7H0oF2LCo8bZ4//5OGBuoakqLMYi0UAYjCM4sHGjYDWKUPU2QdCl+uVo/8aXBcVmk
Q1zBtQlLDylMmFZg95o2z3dGk8uCm+EWFTHb4pybbluvp+E8OQfXLd3Iy4LQ7fA7S9FalzLDkcxm
IhMXqw28fwdOpLINAZlZzHuBxicEbFYcOJ/RTWg6JbIoBoAv8DAQrTeg3545yS6dznACOvbZHeED
QZTGrelZFvd1edP5LU5t+2Hi1Nwr26oeG7t0wVuK/urac2ynCrbGAQtS+S5seByTFW8YQpQNbuja
uGc55MqtcEDtsoYsoT0BGRKel8wZxi/MMufK0UkFAx5AVHgQYekhIYqcr2q0traLSkK7at/4o7uC
vgeYoOjBzmAykW1phw5v1JPDOi+kDZ+SMdM4z4sOmFXO6rgQqt0AQRLRMiwgH2zncylEugl6/N1J
TXzbLEBGqwrsjBQDGGWrJFtddRI85vr9pj7IHy89wmOyrafppsAdFU3LeCgDdZtPeNcEHgU7k0fb
gHEQmCzKoAb4tShQ2gFGt/mKR/IR3xDE7LavNkOZm41oMCejBcjCkgVw6tEjR/ESTi3ZFrR6JFpt
R6u/Xyqtw7pWIgQQnDR2de5HlW3MiO65YGqbtu3OH/tvmZvmMQWMH7eo+fD36tABRCs+iL6sT3A3
XRt8osCdiyAREiRV1pEdLYcH4zebyWuPY8pfZ+nYIYDQA9D0Ocnsect87/77wfi/CsGGZvqLCuE/
uWV/b4fWX/2zUIBMg1km5BHoJKtRGT/6s1BA+ljgIakGroxVv1nFnT/bIe8P7qxdDw8IjvC1GvjL
eIE8hYDbPqHUwbFO7X+k4KDgeCMHruUGJ6gVCMbPwLsYWX/+RsYuOcN90wTlzSiShTJgW1uve3jz
wfyk5YJT+idXcelqvkDHhbsZn8Hbq3Qp6gu60PJmkGVRxxJyRh4GsFBHqQujb+n2KpLYpE8s4000
tnkZ1Ut61DhH70ib39YF38JqV5wmQlAE2BaNbD7WIewXGFJnkEodsR91fi50sGtH+0SW6RZ21nO3
yOOs3EuhsgMpKxMK9CJhSbpgwwyki3QE5QX94sWe8yn0K7R4JcyJuEHHbwVIw7CHpgBobHV1YlM3
YAmtIDQzTtvDZC0Yo04ziwerB04eACaZx0WCmUd9HynH+5QCeN2ymrpPjrAAVLoEOwqpciCNY9fC
Hmm6CpyUbWKzdnvwQbRpuQc8PjBskeBITW9wz44VaH0U93k4uK3LPy1O58c1QO6tshYIJbac5qWL
WuhzrItGKgaThmSm1oV3jnXGv9/GfSHDCoL4UVrNlmPbiP0Rh2sA90GsGC92bu1Vh3HufH7F9Xr3
iZqM9UfHSC3jzLh3kik6X3O7RO0B9/kxUD47aOxxj8S3vQfN8izkNfQ9b2hGb88l6gBQ53RadjzX
KE/I1Acf4Ut2Q7/x2sQCAhg77ZwDiwZu1WVAZrRDNZDGkSUDPvNTky79lx4V42zgMjQzd8Kgg3HZ
EXaCmVkRZjBQ3C0amzeB2xSaWXCXGWrDSpEXMTewEcpWkGiuvFhL6P5d8cAFHPH46nTsw1WZqKFx
UFHigJrruTj4CxByhrNvC4TMjpog9W56MMBge7t+67t6N3kNi/PZ6W8BnMIqa4lz0dRnrXqM9lVx
60m65zDexalf7xBGUMWZS659MN0DX9cfM0QFfJOA4/uyiv1p9r/JYoyp6OMq7ewPxBo3mT/AEyGr
JLDEpuI4emYcweBQX/p+eMU0/dWU5lMHxFC5+hDAC4QNJGTesvVmcjZcx24w7GzqnBaVx5nSXwkd
UYtam3qyUdehUxzNcwONL5PPKRntePJrdzuzDC+C6kfqF1/rxfcSv6/6A8qQLLSm5eQIB52/c/bb
MZ7G6rHF19cPLg4nzpJU+5vM4buRLI9z2ieZQNvdkS5006wN7b4h+5LaZWwbnGqMXfEe78DoA5+F
yRFFJ1wZnibFOff8KoLb53ZA5OUZHOIxc2Ys5sHe1h38uDBXYpUJcwxwExG01g5A5JnzE2/dE5ID
HqwFxnDK7kcnu2269sTwZw2Llhj1bR6g5HXaxEnLIsmyGcbsCuhVPoGqVFJGmSI3lVU9ycp+aitx
KHq0/jWMS6N9u0x2XDtNLEGOU6+Murozx4WxHWgPFES5ee4AvI4w4wcK5VU+z6FZpgOXiwGR3DSH
gcsXYVIG/KupY5PVDUh3t9p2Acz2INTuFmN1vxmAgTD7+84LYx3llKARhLT2bn/PjS1649fFjewq
J9F1YBKmTRULoevTIFwoCTrdZDIXe9Eur3bb9bddV5EPfOF1KOf5blTlicyQZQP2QOZh2+X+t6Yq
s7htwUFmZUpCtAkbuWBN12kRyZT2ETxICxRv7cSMDzst5VfFljEqyv6Tw/Iu0fbgRjapZFg30dRF
/by3W0QrDKAn7VJtHU9fa0due8FeTC3uR1YexrQ6Ln196EbnxFp5grEp2A7QeOLeFDtnzmnU6yLy
U0tucq/cQphjcU/6O89AHm9z/0DyAPe1m5FTOkBdL9X8ESYgLwx89DGOcS4ebNZR5/smmovqrNvl
Ju/LfTXRLYUKHxd1t0+bCvQ1V0UoOKxLsEzRrD3VmYBm3TiXop6O0LZ2ONdUiFe54FzrN7JUl6qs
75Cbg1q60XXsNxbMLy0JU6WuhdtrDCfR+SpVfvSM1yEQoPgSEHYsNBbTjAXK0clVVfdSdWRrtyDF
PfuxFCYWrh/5gbdDksgZcSAvMmAn0hH4DQPrJQUZHrZOF6KinMOqFvYeijn2suFUMP+zQ+oNIUaH
HD2AEY4dlb2pEi/PLu5C7bjJHZh22pLvHFGOnyQSP47Q09W5lpPY/7pI+NsgCQMiTKQ4c9aJFjyq
P5YIqK6nWWlR3KSwabnlQQEN//UV1nnzD5NPF4QdBBGQh2CEvldbb4sQ118aTNOy7Kb2S3gbLsVY
7Ir2TmFsUqoa2Ei3Ccrk19eEtvObq74bkI0tAhE817LOxIBVQ1ZtiKHPPU7Fz5mH2iMPGuCnnMLw
5+712FSRnocSdwXcEsQpZNSo5bO02KkYPBL1It/UwWR/5bnHkElRfvS5mGKAlkdWe49+ilwFu3b9
EaupkQg8YU3CWwuW1lbziDXG7MeZuV9lUw4bqDFuUhTFc421CkTKz2PswCYeuE8iPQb3cKYt6Fir
j2jBnD204mtuhhd0NzscSh96pTY+5kJwzpc7l+QWFBNUKPXUNFuzjCTqEAUTq4nmISvmOydv4qYo
dNS5mFvRwByx6L91/eSEfVvslWftoG98mJfywSPVgQ4SnX+FYq1I3RoKQoH8g5Huq6U8QuKIG5M6
sVsT8LhphV2WPGiIxWFRCvhV522j4NdIF6xgAuNIBq+M28ayFDxsl5LHqk7PLYxnGWU7W0Lw59l8
n/ug3+fW+jAOFRo8F/D9woat1RYitEf5xc+6syLitmtFpIZ5CHv7oKm2Qk1dpC3Ac9ja9sfG5Ls5
RaCDVuMNfIVeXLZ0r5T3yjsyRunqwKPeNmu9E5t+N91fByi/XOPvZhuThxLDWbDaylNzzW6sTXfs
Pk1bGKp2/onj6ImenSlEt31unqbfIDHrwPknF1+dVT4mLBjw4Odvegm7zXlTcc86tzENm5MTtZtx
Du2j9cA2JCEfL1Z0etBJCT3wC/5T32BMEh6KTXrjtr8FdH48+LCB4G53YSmnHJMojvPvxxdjyASx
xi7zm5xcWxBHBXlQevfru/vHPevv11hZizdveFFitPK8znG4vmZqF5jbX//7P30PGOEzxj2kiLjv
vk0x+wvUpA6Ht3XtAtwPFDXnv3ao/7XvDr6N/96+n1+bF/mMsMu/N+/rL/7ZvEPl5xDKOUcwgo+T
CT/6s3l3kC2OxAI7ALZNPLTifzXvHlmTpQF1B64Py563avMQatbMMow5YaVCCCZQDoj//2COSf13
txtF3w7QweOwTiKhIVjVg7erj0HH5sLJrIttAWIYYGoh3vKaTmjDKlr7mHyRDUrujTJrJAcpWnUX
KIHQGKYtFxFZsmF3WRZgTwygdMVjb6uHlBfMPFOLD6Gfw4vvrJJZ2a0ymsOXbdYjaaD3Am/LOFHg
BCC3zUMxJ7q1go2CFte0FXnOOshznQMXpVwlu2mEeKhXGW+Q+LvuKu3BOaue2u9y3yr8Lbmmh6lh
h7JUbjhBHaS5wMkAvXB0xq9ihsdZr1JivYqKCDxC32XOyIALQgEOIIcD/4avUqRQCEALVnlSGWjj
ZpUsVYXNWqKFck1QJTxzQKKtEueC6hfhYP217Bs3bMwAT9Iqidr2AxJfEGADSrnosjz2oZ6Wy9Ag
Q8E+G2RghXwqLkimeu6LaeNzHDzeUA8hX+VYtgqzA5uKQ/NdrF1l28r0JOm/a7kqhS7NV4FXt2hn
8bVYF2+Vfyl04HJAisBQeIdulYgrLefbZZWNG7gQbmcoyXD05rtgFZfT7zpztSzFBkZwDDkit6kx
qlkVabVq08t3mXqekc7QfxevyzxfMF5o2vQersh2q8uyJQkWdrNvlNZbJFUUh9S3+LnwJpSLQ5Ce
Kx+/3Jztbkxv7TFHrBFSEfLG/5JhCh1Ofe0kthc8VvaQJenQfiOBEBGy6k51mouQl+ZSo8iPciO+
5QuNcfYPF8R8mEggqiTyFK+ioIFjydL+XumOHRza2pEuzX1ersCgEFsvx38CxSN7pmCTPTM5QQhr
8oQXMDhjWsAzPTneWdPWOhiXYZjg1u6V0r6CcIOigMBBTt3IQX5E3Jb1cFJdQOIRC+2i5eRvVEe7
o+9JGVsSMR8KFQm6l3Hr5vVTraHukNlGbsTcH6YZEXC1zuwN9VJ+gzHZxhLBi2P1J78Ut3JEoJHl
nvuWoXh1rPbGwAmwd3xVotNedhbFqFoMtIZ7N00Tzl8Haz4WNap8j51MLoMEcX/bboYtTy4bvOcL
Nw1cqMhE0daR2sVJ5DyLipGm54YjxEr4rYugsOw+N3O27/J6r0qgrx2+JJ6zQzsVqHRLhD84Ff+S
jRiMD35xmbXUEPNxoFiDFgCHOvg3630w0IQr9UUoHk5ogaFhf/NZga1FbNTCNkg8iojuJfp8ctf2
COVoyz3T3jGY5miykUWXDyj2prn+yGtycbzxo68JN2EVSP+SAlQ7pHz51nb2HV3GPRsRKiVE4g+z
C65nPsKdGcFk/CX33a2vdNJnUA5KpBT1iDDg0nkJKtzDonZfh8DceYjFikXXnk23bKzKQ9ycG6FL
wWQKrR3asUgvBLESqXhejPkwrevRrso9IgKui5wvAvlhGNHt01numJARNlLELlDwz818YzoTOWjc
m3SMLa7CfLG2y1jtGCpj0ZY7v583Fl0bXqd49jn8yFa7szAsqnKEcbTy0rSEJw2RWzDCaC/G7OoM
mF3obDcTHgtpnbQ2G1MXX9DNhsgkizrcIo7nRLAGxl5AonSoX1X9KmE1n6EGlpzsAHqESNn6TDv0
tYsb2x6uMSgY0ZwLWp77fvA3nqYxzeY7bw4+1OWCcJcasws5ka0ADAUaDSswtUIowhseiG8GxQV2
uI0Bl9LnPPY5pmpZn+9d2+wQbfKZ2MNhofze99vPPO/vMm1uRwGiqn3tCIF0N9shc4tN4cPskpq4
yrwkJybK3PwWpuez1O6dkwrELSKtS5GQTGxNHdhZgd7xHlFeeX1fUnkaqP1R4ZWyNOhDn7ar0/zY
k3GDW/GmD/jGdvuDmxpcsEsQOgJ3Y9PHskPAiuc5z9MoP+Of8jZz6sam91oYMfMuRsZeZJrpS9/0
UcOtYz3I/WIx6K7wgWpVwayOQyJv0y4KclOFo88QF6kfEDjxNGDia1q2B2SZtODSIjmoHcylezIL
GJApUv5K/XlS5EGq8k4i4Sv15k2RjvjsggSI7Y4NFKuTbdEk3DayPrYQF7Q13tcF2/E5vaTusm88
cdCpjUxENAbNWGxEba5tSva4wcJ24relCk4Yyj22IHWNQgfhBPxjqvzbXvWXpqd3mF+SkNv9/Qjy
R7cSIsIK9ND6VNPsUKPrCKc6O6t1o1rkZ1MNR0fRbdvCnD9MML6CmZ/Woqc5pm3zUbXmYDvyaDle
frFSkn7NTFHf98DzosUZDgot1zJNkcZ837LKlzzzP5aDQDAHFJIwYMOjB/3V8ZCgIjHHLuwXXyDY
c+g+A4LZE8e+YL8tErKGx0z9EamCuC9rVkULsR9z2rebwK0+CDXUYTdX28q1r2WFCJUKUaoNMpg2
mGLs0sqPJscSSYF8II3hAcsmoDrGiasagkzeXOfM35bpfJgBPrUWxOa+/DIoGrY4/3AH9GCGNEvG
EfxObjWRhQqhGsZI1DgkgCDstMVfEHiw6QtErYICK8icNBJYKsZvMJPNy2YWzdEMcHcO9IOkGAEr
ZNo1iPAYCmSy5pN1aBwPax2+UKSCKFvua2s4L9b02Kv2GQoStLM+iNJ6PmsPkZSC4Ph7U9L+ZPDy
rn/4XiG6tuMzD7kRQfC+BxompdRYNNaFiF0BB7Ws7qy8+o2ssgozb2SVf18E6R3ExbAWM6sfy9DC
EsQH7mddZuTtTNtpfJwlppexwJz412/nZwXv6sT880rvJCKZSmMvKa7k8JvcM2HL7GRZ9tL/VI5P
hfSjX1/up58e7iaMrNAp8vdvzOFy5Gkts6u2nobx2GXPTf3860v87B2hWkaxjMu4eNTBj59digAC
Epg2v2oP8MZ2NCapcyiL2bZYytAZbn59uZ+8I3CXaFpcLAmQj+86Bt34vWPIUFyReRzCvQ+IcdtW
v3lP75ridT38cJF3glefWgP1U1ykVCoc1KkM8vj/722sb/NN262HZdAKrMVVtWcf0mglP6Ss+M1F
3ikpf3sb776atjJVq0VfXGfLDSEtB8UVEb3Y4B4pNOb+4iC48p+/LcBFwEcAbuGxRe+6/apAHG5T
2sWVdbcdQQpTvWfpt39+DaTHgG5Eyotjvx8HpNRFlqpW5RWhHYnwgW/ICEnKv77Izz46F7IF9Vwb
Sc/Bu+9HTjljRTGX+H4eG/+Uo1MssRkE6X05Hj0Nj1T6G6FkXVPv9iBscf+54rsvCyIqhi62Ka9k
hhzXP4C9+81m8M5iRhFLTm3mYWiGib2P+/Xd5tNLL6/y2RbX8qT2wx6H5xl8VUJv8zsaNUmx+b19
6We369t39e6SuSZiHlpdXrUPlRXmQgcRpY7c/frb+vlnh9QfgpOT+u/zFfzF9tkAKfmadkHk2EfO
h998duun//7b8ZA2CIoBYQ7s/cJue6ewDTCcK0Pra7iDavOpQGZ4Vpa/eS8/+8TeXundBgf1Wirk
u5dXm77m/Jam993ym+3t55egPogxUBuEvVtqhV1p7i1ZdW2aC4W8ORdO6Iz+b466n91CWGx/XeXd
V18pnQ8mw1WK6rm2ME2yEuUhUGyMquFqVcCAf/Md/e1tOSBTYN8BLQq4BLnJP+6pTpCyVjBZXwe9
BUw9+Um33P3DhfbuEtDS3m7bjc7wgebI15+QZWxbWWxK+puP7W9r+fslYEcC6IA0o/cpKOU8C6tG
p3Xt62dr2fvT7wy5f1vKuAD34GBASYNR1XdvwZujB1snIp0aWItR54mRRnm5L8BDNMHr98/qf6qs
i5X+31XZ9WE7ZzzM8Ceq7PqLb1RZmOJQLqGMwVPf1ri4v1RZ+NscG9oqnkDyncv+S5V12R8Mcdir
WuqjRvkBqcKDaLBgINkigQ5k1T9Dqn5chCt5jWdHQDFGfhrOcjxl88d1jhCoEaMvM12IvCq0w4gL
i998KD+p6/++O6CA83ElvEMcr95aVr5Zhf7EKndkSO7svfJQsE8WuQT0tvd2dnrFYx56O/n19aBZ
41/8cQv/8YrrK3pzRWfGwBthtOOlbBFgA8FzAAXVS0eEMpP97aQkP+iBtogfoilQlY1fmg6MLDLe
kkEMLCmzxn+ancDZ+yspbboWmU+9BE/K8xOV9aeGO1XUKvKirepbMFuf17tM2mihmPQgoWQIamwQ
iAYNNueJQhQuyuQi23kwxPcQUjYUwSqbrC3kNjUz8sJmaF9MATGFZU6F8NjAI8ajdizuuNbISXcl
5pIggboU31KJohu2kxCPFYg9gxkt8gfTtJ5C6Hk7AFpXnQOQRWxYQ8YC2G92lAGiO13ro7LsdaT/
pBf3OrN8p9nSJzaMKRjYbr2WH3JwZGHuywnUquq3aW7OCJpa7tlAvo90TN/cS0AVO79Dqr8NQL/z
c2u4XVoP/2MUCpHrdeadBmKzm0YsdOchXzYWo9t9rQg/+TA3Wp44tazYzxWMjkGKxL3qxiz+g13j
cQadBWQNToGNgljlUfJSW5ImE/XOc+sdUseNddWehhSo7Wj2eFTBlQAma9IOofLIBTbzCc2qjIcF
IFVGp2OvyQNUq8TzJNrhZvlI6xnOKGGglo/NtamG7cjh11uqA5FgOmZMQdFc4+zvZqSQ97pCKD9o
rb5kH2HnRHFokWzjiHbcj+M0bOsUbBUvOnOqjUQHjpDxWrwE1nTxcn4HWhaBd7CcwqGEPJpWHNK6
uI6NdT/pBnoOvhY51wkvACKL4YXlwJxsv7x1sikJRjGCzLHjwPFjrzS3A54DgfGzxhMsvO2k9IbA
fzj4HDF8JJZS3i+NdxVp10XT3MOrVFf6bjb5nZ/aezWNMW/5ZzzuJZoZVR+QD+bisQzqW+NqrKZg
606ILV1SeCOJF6FueCUTvA94mETn2WWEHWwPrMKPXLdIfJit7DS75oU+e5ind1RsZ0KTGolk45we
+x6qPkV+7DIACrZuUGjFzmTtiesDLM+GMC0gc7teuukC95On+sjBHRJ1VTOtUhBw+YlCHK6bTVsg
hcM11qHqlw/9+hwL+LFuCiXvS03istRY1imQ/JE7X4Kx/FIyfpZdDQCxnKpo6hXg9n4S8IBq/q/q
7X+H3hpn/utDLwS2N/zs1MNv/nXqEfi98WwiZKTjeYg4qN6cejYYY6Swv/F7/wkS+38EOIvAgEEN
Ro+Euu/PUaT/B57GtI7JfQgq/9QJDl74hyMChxHiFWFUh1MdbR+elvCuZO1HOA91xa0bGCeB78q9
Xp+Q0dR+Ezb2IDcVTBtW7+EWycUt4WDkdYHc5wkE7GQGGdflsF+ULTCjGcsIvioJZ6FJ467jU1z0
/ddJzJ9kOT+1pDub0d0vzOcnGLpVgmzRMG3dj1mgtsIWZZwN9d38PfCvc599u4A/BVnCa0JpQCwT
IqGYhqpU4NnYtxmPotmUUws/EDw3NsjSpVogjVhsSUTQffZG8I6F3cZIPZ82ZdbCQCmtTdNVI6pY
BZOghTscTzUJ+1EcMGKb8CCTFFvjMlEgmunsPbW1tsxtOSHlcgPBfMIUCc9OlR9GBNu1ICTwAKU4
gCtCyinYtDbGRbo3InHIyDAXcBONCHTAu+V1LBEYEuDxUkJyzHxJ+TIw9poSD3ByAQbUHW5q/dHp
wUWmZgqiKcBpZRl5z2bEndvCeSpruNqRLOckgJh11Et99NO+P3Sk+do5eIZKjEe5INMSSZI413zh
ObddlSHkM2d4zJCpPhAEeldsNGE/VySeife58eQnUTB5aZdZ/h97Z9IbR5Jt6b/S6L0n3Hw2oHsT
88yZIrUxUBLl8zyZ+6/vL5SlLElZlfUKeJuHrkUKKYgRjMHd7Nq953znZBbxtDR8ucZSemOHEIqz
koqk3ebNVbvkH7SrXnxpigoQzETzLtn0hWPu8VliieB9Y6vQjEG8MluY2WwveT0fWOHiwxD78P/4
+Oh2KwNQo53fqMB8zIJs2ORsf+j4/KOTx1266MY6fk5bw8ooFagj12IMzrM13ZktKUWmB2wSwDd1
RGU+XEcaqm5Yq5kI1qGEt27t6ta7cxN/r64SqKHfReZMylcXPnZBfqMlUULaYrJlDksH5V87Voso
cfu9kycfoI0/+mW0HcfgOTfw08qm3ek+fIT/emrG+AHZyEvciZ2gqsJbF1VLr8bAMcPE1sPobtjo
rY32p5MHXfTIV56QWZS8J9phZsFrM6bQXaPFQ9NjqYWefTD97kerydeqMNWi67PzHKp7MKvVfnI7
OAsGiPt+/FQYLblTj00PqFLW8i6MklXFvlZU86HxxLMpk5G2fbJt42YXTwlTc9s+o4L9mPfweA3f
21QdZii7rhj+hfFSGGin6ml8k0qUaxMp2uzNl9EcbiIz+GBZ47FsjVWJp4gkt0/IHT2oqMnDHEY3
I5LxuoF+74rnrDbF2rSmTY2wdBmnxkWZcpvkxaWHZ3DVyH0aCFJa26M6yXDC1zWQlpPxY6RwjV3f
LcYm32O3OQ3XKYaTz2utbfvgly5t/WDMrI0gcH6JnKbI7yOTLg8CwPA1ia11QQwNwhrz62y0uzQe
XlFqb0Y5rKeAl2AHHzvm33nvGAg5u5Ut+mXX2bsmrF4mnyGSlTP8Hx3EVVZ/H4iabr9G1tU09kvc
N3v2S2aDg0J+4NzZjBtpj9xZhYyX0zyc3WGMltottqpogj0trB3Q3G0cpB8SKz0xuH7yGSQussS8
76KrVj47R0V9TM3+Q5o7D03Md5FXw2cn51YzG9wP1o3O8n4fTgL2RDzsMgsBmLTuuUgOZQ+ROGq6
m1YBnvWpwvt+eMmtGvWFk22G1uRoMh6poI4YFa61sLFHi7oz6Tx0Tb3P53E3Ml6Uc3qCCL7tsvmu
G9KOOqvGGdUcdcUlG+ScjNvsSZnFxxSVhFO7+w71GzO5Q1R6mBui56GNH9ygfaTzni1oFm8GN2KS
HFDPVnuRU7HNGFCV1ZymrjgUM4rVVozMyNIjAt2POrMfZIZPjgyEhShrc5l45tYZ4k1RVTduXh5j
P/j6bUv+T21isU//89rk8j68fXn7BxopHvVDXUI5wunZQb169TH9VJdY+Is4piOCIl2Rdsr3ugQn
tIUwjzx27NA8nELne2FCUg0ncSoACpd/VyYFiObXugRoLL4mkhfpexMi+Utdgpy4sl0VTzdxcWtP
fre02BoXupNPekYLaU7Io6VVnII5uw8m59NUZcbSN2axGCNClaa4NRd+Jw9ter3J7JJALu+TjNJz
1stncg2eKPO/Mkjc1IYH7oEBQVbl1SJoPdg3EF9MKz8xt2RiqgZJpIvN+kg4FJZIZ1F76TMYlxny
Mq5EwRjagmO2IMDxhViP53CaPxkKR5Qiimus+6c07m4b6UBVVWJLI+8B0B2OGh1eiGQ8lONQLSaj
PYog6ZmPsyvqkvc8EwZnL+qA81UAydOTCllFsSki40NfxUt0Hwva3pcMPfvs4JspfF+xldBGALO9
SuJ6UwdotNiXSX8RKMzjmzYV3iLkjPYwk0kTDwo1f9Uu51qj7U3seAlgAcZEAcFbGu5rPmM+8Ebl
r3VsZqzLsVzVYH5Whlb4Tkpix8ZhlTlX98TkoK6SM0bT/sFDS0Fgmfvc1EOdki3SOA/S76/dBwAP
zFy1RwDjkxjHOVmi3aoxl9SdGa0pJofmoqcw8VBvhJmzUuWcL8gJOwUeBUw7bc1M7+Zx8NZAHHB9
hSBETWdYfnOxK9QIjs+5EJnSe4W3PTNhrjN4ggKUwqtvuXAIAXjqiuJjjE5DuSi2MpLKnHY/9T2W
Mz9ZekmxKy3TWEdpdQ3jGM7SLPNlOtnHKDI/TI53yKsqXebu9FYLt35ycvQVuXMvxIBtdNzDeN/q
JFG72FWkZcZqx9QGl0ptH6ce44o0kCdMxqRZLoNnY0C349UGm5eF2m8ICONAqKbG/SyhtJtlhY02
LFZyMHDE1NU2jiN/YfozRlK1sXtO2ga97Kbpn+cs+5C51tfS5jNTSf1iBiVerPQJ2cRrmDe3Okrj
pe6CXVrML21zTbEro53Sib/M2KcL3R3yHisauP+XAWEQiYRv3RTDVLGOMoGKHlevxJ12K2WzWaZm
US+yJnvsneYpajnmVj1pK6YPMll362qmVuz811riAW5679xU/j1b1ta01QeBMGtrTgjK+v6jG4T3
VlZufFHc0B280ZUJetibrVMSDD3/V5yw314sO9ykxZf0mmA5YOBoR7Ut49FcwIwSq9KdbmPPJYgS
Z4vE6MTvbsFitpqi1HrLlSqIjkthEbUOYvsQM/MwPXozGkldZhRHjf9YFOER4cXrHETnTOo728L3
bKYF7jX5RV1TUiX5qp5fI/nPuQDVVauj1yqx4CUQ1BcP4pHL+MXv8BYJVV66GMGHtL/IeWqgHo23
pRrBt7TCWarQwo+mCAfJPDBTAVlWCzfV2e2Uyvs0ZV2JAGnt1YAUHl/7uCk8+Umr7i3N6lslCFNQ
vqtW7WgqgnFquW4S91gFrXM728GWw0NU3EHLSh6qQnxWk01YZTo/zWV5sufwkyjEoc/6aUfDw1h3
qXWJOgKA2ipqkTcFxUamtHsrzlK9H6WrJq2uErhaLioSGhee9LHhuFmzVE5zIimOmFlxiHuxh7h9
34RYpc3R3nuzcwHldyxz3mWc1quqIzTRnQ0HHxXMvijvl4Hv/N5l/f9sy/9x73YZwP3Vbr98y+Kv
ZVPEP+34vz/q+24vnN/QQ9MmZON2f++i/9F7d35zwM4xXTbJi2Mr+GO3d6zfOLQQ4WwiDYD7FFAj
fN/tr0C6a3EQ0DuwaZ2Lf0cVLfgdPzSqr10Ij0mjB0CKvRjhxnXO9UOjmlyFsqr7Xl+K0ZbrAdlf
xSGGwI5l6o/DnWe40yHRQ5GuTe7h1650hqfUIXF50criXxmfr7bvX1+NY0raMj4tPhQk11f7w6tx
kMmlMgKOYJGweuG+KdSi90uPqn/o0C4Po9O/+oinEbHmARC8mlAteqkzGWjoMv3ii+w684bniPqV
lWXiaUabLbaT56p3lj6hNz9835Tv11TsH+lY1s+N/m+fn8NsgQkGIHIzsH6ZAxLYFPHdTt3F1i63
lqfn7GlwGLVtOp9uLCQXjYsz9lWwoP8yEVmcmqAghmYiQW8ouy+RbluxjI3KxRwKd3rR5RFuNLzD
abgOCZi4TXt5yFsZtSsfcM1zS4Jdmo2uXset4Z3jJhry7V+/qz9/DSigTAzuVJuoXr696R++BlJf
whFkRHshwEs+lyFFJ7wXi0ujIq3rFuOZfKiUyF7++tder7W/D02u3nr/mlmA0oJrkT9+qTzRh4YE
goXFpSAj/CLSqL8UnAcp3qLnv/5N3D5/+k3M703GYR5z6eCX66wqnGlGHV9eAky5b/VYNtlWdcEE
bLeK1mbdQ4CxyU4GxWKTyvyvLpqfPW7fIAI0GK+NP2ZyrA6//HrOtDFReHj3/Dp13xDhumwu19fg
znm79rDWLiaTr347ZjXq6jot/fcuk+1+pNo7ac9uzKU9JmSZJ36RP9lNxVAiCqbpvTKGamXi1oYf
I0un2ZGNhLrxrz898ecvinMIy4btSYspuPPLdMvEWFa4rjLOgrC+t7jpWhJ9DFz8BLzg1gsPYxSn
n8JAVid89tHGKx0do5UY/K8kSiFBnKIQNXuZDO9xY5OG4Vaor//6RaKl+/VLxknCRYTZgLX1GhPw
82LiNUFsAhOyzwmDIQUyiB10xn6hbbnphr5fNro274Z8chlyRBEpOAL6vdVU28yBw8l2n99XmZuT
QUK+xIcx4Yw9tVgzKhpFT3i9g5WqC0VkU8I4LO5sAsIU1ojLWBntTW0QWROGAgmKQZZZvrSGKN+R
Hp7dW0l4G06FjRyaou/SkR3ZwTuwV95g8UHGgB1WjdPPkFXGIDnhIQhesZ07hwhE32kO9UCn0oyc
fMndhbs/aDjXjyTUrMToGqs50Z+rtu4eetOg4zIyTtyotqbZpiyLhHcxplvlGyRxAutUn2ByNRB2
i9r42Oc+7WT0J/u0LOgs1DL7gqGWY1pl5+lDLJWGs1A74QFXRr+c+By2AqvPDTl1eu2MTb0Rgjbp
GuqaCJcY4YMaM3mk6KLZMHrJ94iUEZorIaA4sdVY47IwE48izM9edG5eE3Fl9eDanbvtZWJYpEnl
81vglc26NXUyb+iY4yLW2nyz2mz82tJedq86WxMJb2gN4QY3KNaOcRzXUzj0waYp4cIAXM13NDsA
SnkOszlvyAc04m1CGK+vkFjT+dIYsLtMwVal6bVtvHQdOv1k3o22cOinNyYSWK6kbmN3o2y32vb1
ycNPkqm7Ht99nnP0zaai+RKpyLLm13Y0tJ9fsR0s5eVnei9JZzfwOfu+Mglu6ziLHmRcz9tB9p3a
w0IgryehHn8wfcPeJ9OVld7zHaCrrk3QnnOUBwHWFcV+yGhtrEk/GEPIGVkn1E2EI9Uvd+nkk4A3
6Ux2hA51NlfUqErRjsuevXBDaHuibgZuHe+KMqtwCAiC2fNNkcWNXGQ1m5da6yH2loaSmLkgb5mF
A5tU4VSJZD+qzZj5Wb5uFVXBxi3CHDvo7LJiFlbqIAmOGhr8NKbD9rZF7UpOENSwr0Y/+LG5Mkur
28YQZIOLa6hQHQrb74CkLQvd1vO0a01Wt2hNnppPe7YdZkzGkCLIqc+8fNqZbZuThG0xwF762p0g
euD3M5Z8rdYHo8pnCGA2WBJipHOTRKPEBCPSc+z8APRI5nubhMtsnUaddz/3HTPexAD5c4zILfGh
PkUWwTWqGaoCc0BsH5JwttJNzxy6IHIyC8l7FwRRLjHqVOM5DyYubSK/qmalhOgPje2CxQqVHfYo
BQe+ztjHRcNEPbHn9yy1JUAwXkC+sqc8qvcQOZxdGPuos8Hw1vYqLmO1mjHuuxAkmkreJmpMnKUd
1+TAYaSYjaOpUO2LSoGM8yPolGsIETPJPrEYkY9LByzL9ecWQsaSWWgd2vVSjzGhYh2pjh+bYion
YxFzH1kXAYprjrFhOYb9OGWjRRwS0MZyVXB0PLt9wZYUtn7KA2QOv22j4kgUrwgbiuiAASPTm3ZE
kX7EztQ9OgmEXlerXDFw4OJlToF3et16c8yL70WSrzK7TttlMKp1TGLZKzgpKoskTIaH1vXGT1UT
2QgCxhCzT+qa1qIIFM/jZoyxNniuxIWAMdu5a3E/PIrO4CdGz2iDZScmH1Md4+F4R8ffgvsLnAO6
AIMVkuTr68WZJABJ/KyN2ls9OTB6zRpeJVSpghdGtBeXATuYfAYvxNWds0o2hHURLb/vWqks5LmQ
Le+BbUlnr51k7M94mq/FJ16iWzc1PL3G5c+vLssZIK+28o5mVupf3/z1pY+sT7yuKhcXxy14Fz1D
a0WEepnOS5miaUfBGqbxXdH43PJNT1UQ8m+sqVZXRDe1cAgiJo0rMvm6x0b359yIqhanbl/rjb52
Dddw96zrosHNtOQdsYBoKa51clfkz0gX5CEYYpwTQQR5ekm/x3sbC5uXoZtkuqdjZbbHkDI3OZJ0
miYPAbvFFhiJuNQyrF8ZqXr1IqLpZR0wCMr+qKIyHDBa+DVYWB8AGPQE5t6mX0+f0yx1b3XfAiWs
oSYwt4R02HLyNTDSzPK6hsQ1CD3OAQHOemviDFx5ufxgmDjFgGGHNZQWlrmpGaP7uOzao8zTBMOO
1VjEzmYuWMEhsuRzkxhDuAY3wm0yE8FJRFpRivodc0gxHQLBJbUeryv2OnENPlE9zANzM3ckDLrp
LW+Jz6cb2GntgeYlOdYfGznIR2OiTD/MkhbBlw4kbIvOgb7UPh4tnkrnIpqXzhh64b7iaxmXRiq9
zVwOQ3fWk49RZ0D2Fvjtzsn14NI98/hyUlO087bK0rI8F552TkZnOuU6qot8ODKswWcSuIALHqlE
2i+mLFhGWDoZO6XRFR8gGYvi51dT/ZCFtYhfgAHaAVR8KrDpqepsQ/JkrWoIzDOIgDZUNX6KQtMY
yGBtvXQfM0y8062h5m3TA6TFFNJzkcZWlyDJSbPZveCTy/CTVIPpnR1B2MVyorpp12MESG49BkUc
4prxCSwO2jZbC23rZgV9Kmi2cwBhdZE6OvRXk5pMxshV69UfgAWKR4InudbY6eQz1zr4vEJCatv0
ViWTTUCiN43m/hVW7xgIkHSD/+RaRT1CGgw75+yoLBjua9XKhs2dK5p0M/JwNxwcEN3EdpeWJ7+p
IvvW0mbmXa1q9EVjrY3wnDZGNa5yRjnWgmqs784ZVjeOkTINNzi50mg1atPcT7XDfT+hpIPkoSL/
94jI/+4eyTkmgLEtv3b/5/rMf8QAfLM///1v2/fy8pa/t7/+0E+PIUngb6/uitT/6S+Y3Zji3fXv
zXT/3pKD+N1eff3J/+o//g1t/YiB7f/+77cvSO4phrom/txZP7ZSBCMPl/9+KOL/hPinnfI2vDdv
7T9+4PeOioVdnK6IhBT7HRf7R0fF/A3bzndVIp6APzoqGMld2P7S5MjCiesnXrb/GzYcOg7Qt69t
GPPfAsTRi/nl3IGpR5rX4ck3m7v0fzndFSF6uWwIyhvTzMJdFaptFIJrboDB9P4wLcfeak+6h9Zj
m7O9lbq/JT6PA2eRf2ocCzwPk9Vsity1tBHxhaNnLxInAlQWYYyimWmtoi4gHpFO7crAY3vLEP5D
5BKsPjQ2wRzmfGTfPDWuswtKRgSugUl2qjCrh9BUawb7zQRpuUyHHRfFIcwTEGyOe5gDvGWh4589
y3kK3arHmhXcSdSTqwJQV2c2b5brFCxP4fOQu2hROMZSuPnDMh3ms1f4H7Rifwcq8yKz8oNH0KBM
xWn0s0fDzc9dgPmEpfypaGgVG4KSXBHWOTv3RZFAkDReLfJKwzrcdHi7lti+EOmVL8gIL3aUJ7hK
9HZg/LvgynjrMkBfhYZJZ/jdmpx0Gr86y1Z2w0hlUvWEX7jo1wPNZk5l+Q24HOqJEHXiFdKjx/4y
ZvS4QzhVWzftNolX3+uU4G43FfjbrPnWVt5nq6se037asB7lCzvEJ+d4mwn4U8z2vlB+e+v1/lNU
K5QWzvTixdjg49GtVr5wsMcWcbmx46ldFZa/7Zr5rtGFv0GNd9Aie49mZr9BZz15UUNEXGappVfK
G4x21iVT/g6K2UN9caK910O3JtXTm5JkyQBxE/sDsNKapbubk3UH+pSlPHiJPA9Cen11/JfxFjh7
sUjz8nPqe+Uq6SbMELUgqJmF2QyJ0pnQLAwJlPLkU9PY7wwb3sfSDHdh7Vyum5oeiBudzCFfJ1Pm
PNsuAhaaIhamU7BVRX3IXW+fuYJKMdo0QZhuBIcIhDLoUazQm7bBN5h34fbdehyMu7gaacinY8M8
gHxVs6m3M8b9hd/VB8eorWXtVDvpITEsIY5R/PnBChzkzjJCIr8b/UZ5+xib5Wpo87UJbgZMOqdr
IT+U9mAvo7obHmpH1OtYhvp30c3EEr4Ucy/WXUbcse1m93KgTWcxIKIJsy+kd1JDKwhzIDM2CxPu
Cz/r10FSiY19zZj3uNM3RgZTx2SfPE4W3X0j+myHo3PXqfw+aBxQeBxacKDyXqIOryeJzuvWQZAT
mvNNWXKnJDl8MzuqbpkdnKLcNFeVmTjkbvIBIvTtOnFoy7vYYQjYNMFtEORqr73yoq+a2qEbD9Iq
vzhthspgSt5yJ6+IXG1T5oEGcREz18fo1jTpapKYr+Zre1om80crtL8MOMoSgm/HdVzi0q4Vl8GQ
q7fpWqRaU31WM6OxwjYeULfuChEZnDajZyNM39OeW8YqsKVyct60EkkDCWhIY68S2Cx7pPnxVYIE
WIaa687O/K1TwmJ26PmQHkdCxhDWxcmwtHsWRf5oxHl90QOHCY77ydqXsyIMejCWvYLGEDbE20Xj
ABgwZRTng8vOZPwQNVzNrhOiH82SiHhjvnGOGDTqpvmuVMzoxGyLBahm8qMm496uG4CX/CY86BiS
4STQYkhTJBPIgvA/dw7SpIUenIj8E54LVfBd7tjHrGwfGGA9wjAuV8IasN671tqeZw3XogQzdlNp
0byk0m3HtQflMlm2fXJEEZLMy47QImsTj6pY1UncvkLNipzfU8H+uyuH/3k1gYPI4Z8LKh7K7O0f
QWeuj/qjIBAIPW2B7wozoPuz0NNixOIFpO14KB2+8Wi+CyooCPhRTpEc6GwfG8/fRyzBbwgsaKYL
JiI0Yx3n3xqxBNd26I99bfiMV1Ab5y8Lh5JPffHzVCPIE9p51nQTdGFz6ydTfo8+0n8pM8c6TGMK
S07Qowu6wTyPU6UI/RuilXCH+dmXY/fAgS/bzrOIj6TcqLVvdICQ4zpaB7V5ybJIngdbqBNzqeaO
9AoePzBYWvVzd80Ir/TOCORBW9yVbRcBuqzs9HNMV2ebFKNiRZ/hZlet/phHUXhAWk8jDE7fyipM
VItBUC05Bj1Lq16i73ibVO4fek5sm640xmORQuFo4Kky3iaRQQOywGtBjEScgirxoKCj59/Z3jUx
W9odOaiAYSxIJ8l7xXCVNbTIV/U8h1/9pHqNNEf/WQ1o2qpDUtJp0UmR7q1ZjssOne9tKMIXM50Y
edrNxqmKOxc50zo2O2PbeeF8mMPePqAW8Nes2Edh1O0eX4FcQVpztmlWODQJLEU8PeP+2A3TQ038
xUKVw93cJMWCmUeGktWdF4ZLWk4aoKkN5YUhQMokh0/HAGB1H48Vdu1YiJsWys+KhlsFS6Q99Fby
sa58DXMD9g1lS7IWISqusIapyUg4WhujaFaZkZob5Yld4rDWGk2IpA2aTJfS55v76m0ow+SsO+fd
SEtzhbO1XOQuFIwRHStOigfP9u9yHzlXqvXWGrJnKxk7eXIkPIHGym6GWtyWVvBs0rpZZna8rwxz
q62OhlHtrlXF74HRC+pjcMJz27qwH4r82Nri3XXLno7r+DBEEHRba2AKSPOPCsG88UO5K/JyO9ju
KdHyXIHIiAS2hjkLBRBJ73ZSyWYO45t8hq/uAUGRDnjg2Z3OLjzdKjWeIB1nq1k7SGghfdPn+phb
zSd7FPVKRsFnhC1b1ARPtUQzolVFKkrVkk1e0Du9MCkpUenbXv/ZCSh1he0ikFWlPskRRM+aw2h6
Eh7LPwn0WXmoJGQLXzT6FBLgsP+2Bv1nMb7Of/9iMUa6iiW0//P57Pq4H5Zjx4E6YJMAjfXvmqTx
x/nM/s2H/hVg2LZt1mz+6W/L8XXizeSXMfnfh+F/m3iDB/uWfRTgJDbJTEMp//2gevv7Mvt7Wt4/
yTP6Nvf5aTl2AJNx1mPlx5nMivzzcixU3/Zp45W3ujH9TTE4I8xOhwaKM+4in+tnmJAI9eZo3vAm
zCPtQMGZgzbtnlyP8gXEfXtmdA+S2LZrPNqes3Npc13GVFVfKopC2owIp6LMR28aChJ6Ktw4Ns0j
Q9+2Td7d1EwSXg0TbrFQmCaXimHqimF3cUnDSn4hbeOeDr57EwphHKwwgkhIXNwTE0r3FcRS8zBa
Lv3HNvL3aV9A0PZ7g+rbncpnuzex+tit9V66ffbimlmxC91WrrhJ2reBoyu8mQBpUSPHrZ+MzbGP
hupuTIp1hnp4g0esWg2ojdEkG4UzfC5bipmjAC09adb8tN+KueuNd3IYrrRA55ppQU+maG78qKKH
DjU/gkYlKfPGnv7X3Nlo/C+BNEpvYYZOpJ0NutmAfns2VKNBNy/M2NqMAqcB+XLTp2QgWmFtoe2X
OOJevfG67Rg+CUUwjIpNGHnuYeq96aEby/mNnjurM3B/8xiOLBxxKCSpAEP4iSspXprFPL+pNprf
vVi/NCCDizA+GH4JDUp4w3J0kRHTGwoJHRX9tE0nuDeh6KZTWmrAjJ0Ebw7BhplGPIbxps1hiiOM
oxAG8PTB8eNsn0nxZKd1tAMdCtXJHIeFGzTdzktajxZqle87A/0kRgzvQvSducqtUpLw0LmQGFqT
Fg+g4U+GDwPFzoAXVTq/SQIBr7obOPIaRqvXjILrbqVVXH31yWrZUycU92zD7d41Z+9jiBhoNUs/
eeIInpz8xEnO5NQmr0L5IAtozZ7adC5f514bRy7ecGn7xUh8RqNegjkfnwqYruu+1Nj+Yl3dRgMi
owI3DLhqxyGSBqCNWJM9EnXrVrstmOxp9Jdh4Xo7a7DepUd0SYaEXI/23cTslXSN0hPvVVnNm/pq
tpK0AfEZ4Lr4z1r8rVl2XR3/Yi3G+nvq4/Z/3XyK2+ofWaF4+PclWcjfqI7QCEvLDGRAQfv3JVmQ
y0QFzOpLNtq39LnvFbJLcAKP+SNSgUd9FyERtyCvXuJv9vdvGuZ/Y0n+k4aGujwAJexYPB9egl8a
Zo1luy122vAmzMC2W9Dd/hUJh+3npxoc9CiSm4An4tJGWPVNUPWjsigXpSmrbNKIivw9cZJyw5go
aTZ+rs90rz243vT3tzMNkbWH8TRZCCjDD/R/OA8GnfTOfuOjwChCVZ/7xmCwjaPUq8+eZ4A6crBz
hSuzEgj3UAauS8qjapeC4ls3hkP5pZnzNmVorUeAPdsmcuo1Z/Jka3sYForBu0XJcYXL5JD2yrDZ
xkYIKzBsysTYFvk4lw+AjaOvzJCHjS1ihX43aNHKymxyrISIR/62FpWDHQthgGk/dJAlk2VV6/qu
07wKBs2bmcQf1tDoxa6YeeqIajwz6P3JdG8P9RbT12mktKchY1zYFZ7d1H6sZfvQpPMpLIZnzyXv
L/CIhklj51Q3DiPy+hRh6hewF/aMUuIVvYDjKLJFYALKJFMHaS0YehPs4FxOB4wjr1WSgCXLfHaD
sr5pYi/ZySI69ZpwZQ8yc1QBJXQIvyIdQbxHWQnIS8r1hPVp0Ukkt6Fj55tOa3db2Go+0to8DsrY
6jzddUYcbvPMbVZMBpbhXK3rMT7nhF2ulX3FhEcVJ6lmr5r4PiJckCOQW6xA2e2bmXy+sBX7otUN
kKv8oWy6Y2TrEUOY6X1mftVyEArHJTOwjWZ8sdAixtRL4p8RFOCb6NhU9Zm4g3gBR/eaahEsyW6k
wxYm7oPrTOXC1k6/awtUmYWS1ipXDrLYqTvXHm0Q3Hj7IdXTtszMd8frv4jcDbbYsfKjLeE0MCp0
47uqCHI8M05MpEeKBt6nQpBEuG7bwPycGtF+9oxLJ/ynLjK2WaQQVyCBVWmw7G3EI3lwNxSoTBNr
lTRqDUd/mXtjusPzsw3GzgI5yQfvFv6uNYcP7PQlcpdwRR7Sx9kbzqXZ2Yu40Qc3M29nnnQQuH3Q
5s6O2PaVgSpDvBuG3pfOfLKVsZP+s1Yfy2A++PkcbFxoo43vPtXYBaJBfxqQC/dd0B2dPD251nQb
qkQsyTjxSA+Rr6iFyRTzJFhscZJOES5H54Z9FiRmtCSHkTRG5j9+ZDwGun1y0oFEpVSv3Ci8dQYM
ggBOJiJM4iN1yx79HpTPQTxXRvRIh+3JqODSFePGD6uvDPQOtTQOKEtmoia8A2G128zL+uv8bmWX
AvlM73T3zpgceH9HNzE/2r2RLCY7w0hXchax7IqoLUenO23k1mtJifPSBmXcMGed1FPeqfRe0zJe
aJ2JtYOEBo16F61qIwX+dk1Zg2GC6toyzNXIbXEaKje+9M5MXZQ1A4kPfeVd7zCBY25Ryw6oa62C
T7MHSjtyvWejtbz10HoXlDUYErIKMaEjWy5mMrGGqc+O1DaEZlrufWfi8bdrwOAhWNUF4OfjUE4P
eZWOC4ioTBwR4m3ot7543kPCN7+qe2Ne+botDoGdeWdV4WvUM7D91Cs/OaBp0NJPEbcc2iTHfTTD
KuVznNJtOIWnJBczykd1l3blp17LZaKwMCQ4ScCyPiiPb9muPlKWr+cy2Q1J9xX0zQ0ROMkmVBDY
UL2/Wkm/iTz/41W+0JNlsKDTi9p+BCfCbDZYJNcSR7mriXo7ySAo/D/2zmO5cWTttk+EDtgEMLwE
vUhR3k0QqioJHgmXcE//L1SfalN9+tzoeY8rKLFEIvMze69dm98K0Y27qnbWadm/9la4c+yuwjio
3trO3lYNH3M2bM3QfTbK9gnBw7NjyGLlj+n9mE+n0h/2XY2vUxvS5yieWPzyiI7juafGJ7Gj5PwU
d103X5xWvBKocC1Ra3h2/zwsHeoggU3M/RZJDYeF3jDCwOYpsre5XshYqdjZKeTRMa+TVeclh6gd
yUa2QEyljrhnrslfMMeHGpXuA06MY2eJLgCw98pNcFWHMuP7U94kydztZRo9O7ATV4i59g6ceo6b
tabGs1Xyvy9i9+Qpd49W9mh0zqtf9esQGV7lZRe6uD3mOOo78MWFmb1rHiX5kLAaYi4Ex/Zd77Ij
f+t1MpPxhg72iCzqtq103qbdEiSj4bQXbyFWtH7C2csQPgS2j/F53pI5x/AiiW90e/wM9QE1EX40
3V7S0+bk7Dv5rkb9VpQAGrJS7oEe13s4m9OJ9nKdmuZJNcmbIJFQbyzWF6bstmWhGytp28MNHm6S
RJrI2mRe81LqMcow3bvoPtDloazrq9ZwI8KQCXxxhPia4PBfxinay1AJvi/IWDaTzrjNspP8G1hm
d21a7KCx7ZpnBEH/kCVGCeJDjTIFVQixZ3+hyRmZYxRFGWrXafqIjynzv9jO/0e4+2dh5lLl/PlX
LJXWH4S7E99ikSl+hU4fItyLqi5gxf5QZv6nof6j5HmZVv7ePv/4HcRpURvC67Z+klWappqKwU+i
iw6d13Mvc3caxweYyv/71/x5aPrrr0G/AcKV4SCGtJ/EwCifJ8vN+uiicKfWJA20KNm0+lHZNwPM
BdE2q8n5VTP671jHoBz++1aCpJqPJnnP/zrWWV73Ww+BW4EAViYwjmN+H4r/1kMYoBF0QV29kBLZ
oPOqHz2E9YvN4B36ECtxRjcLeuhHD2H+Qnvq4DNhDoQ+z/tnU/a/JvdY4H0wR1r4JPmB/k/ffVJy
mnKk/6acr1jeGbBe3HPlWlX4qc9EmaCT7PSOq81KMHHtpcgyeCN4sNjnCDu7C814WHtspPcNQuVp
xdfyK5biNpB++N4Y2X0WZgUmIUYM9SzMLYgIoPC23p6lEJ9x5aXrrADwwzOYbGOlrI2LLXzTCeSl
fWE4p1m1xUEr864GrJyVZOaINg5SWvDrilXEqk/8Uyq67MoXiCxAjUzbxvG53WrqvLzQq6DwjWYl
CIS/tvvpSDV48mQXXhVJnm0zzeemYDeHuMsUmIYyZ9qOvhsvPkRWq9aYUTB+T7MG/oO5sVzrtvaa
C+NSibE8An55MESsr8PCRgAIn5iCdNKum1R8ZfKMF1C6BuPZ9HNO0zegDUxm7d4oDrgUw1MFHeaR
yRb4CSDGUWvJg4rTjw795KvZxPrtDEp424scxjAQdGwQkgo5gkN41WuhsRGDrh3tatRPTlIiEI1N
EnHxrp0a17312MveF0Z+GOLpAaNEyfFfYmfz5K0r2OH5YYMoAe7VOpbI9ebMNUDIDMZqnDLtZMRE
Z7tTEzuvfYVSK9St7KoLWblwhYMzpiYkwrS5xHx2PTLM5DyhTaRPigDM1NxxOmAIplfdpYL8rXEJ
gak/4Os3HzRT5cmBMTk4gL70L0mPc2wlZw+ahc8fIbz4gC0CxPD+Z2/42Ymxz9pAMHtv9w0m/+8P
7b+nl86j/PenFyJ31b7/9exaXvXj7DKNZZTx2z5vmaz8NpImHpK0E1COgGttIJ+/n10MTQyMW0Qf
+Q6jjmWQ/ePsIoiSe4l8SrRyjCbIlfkH8w8gZ3+6Ux0QaK5OLjYHJG+BM/GnkfQ4hBEC0tC+ZHPl
TrRwsrC+gNDqwgviRKjvZw0x/N4L3TzQVHw/2ZFN4Y3zsTSVjuNRJECr62yj/I6QOQfHpD5klNij
1QSql+/GNEeBcpL3uW5HMrAwEzWtgBPFN7wO05u0RpEXEd1aFS3UDA9VoDfN+j7xBRl3yggRzme4
bLWi38Swptex6K5UWfk0oMlzbwjypMudyAtyKcd12c+7pO5QLugFKKtU3s7R8CSFPCCRwJGYwx42
ST0AqtGGtJPzu582t0KQyKoKU+ArNW9MvcvPND9yixS4XGPzlgjP6k/y8d5VqrqggEveTR/Ieqj5
HSLSCOlY50V5Hk37uSph4ZPUWQH/wnvRWAv2tqJctCRSrNnzKc/78cqak3RjNvMH5OKtgu1C3vXO
cJE1V2SpWbROmAXMFPAL8pEsaPqFpY81ZAgJn2aAO1uncpr3s8MZryIauhi/fF8kD54iri7Pq32B
i2uU6UNO9m/XlbcQ265iDQ9pkaBgdYrbno9U0c5u9DFpyl2nsVn1RHU0nOIL9mVytjhe9d4/oScv
AzsPS0EHZja3xkjt+sbUlqES521U3hLlN1UAfcoJ4Ummv0xzSvktyHNma75l3DMg8lRf/Tbegkyi
l15CoOGcfCCaIRaaYp1eedx3U3xtl6HHtnIEMUKa9KDhCk+96VXo/kM3j7dGb7zhOoJXNr8mSyC1
YIK3ccmoTszxOCyh1XnM7jfpCLK2LU7nHo+Jo9f7lKxrxLZ7dwm/xv3yMC1x2NWyRIgi7xIuUdle
PH/awNlVDJnGyYjT7pZg7dn9NFJpIx3vnvoleruoCOHO0bFnSyy3Qz53g6Z1rAjsbnDYBZqMv0ZZ
PZOXOc1bj04xSEn6Jn7iNSH1Qy4R4OUSBo6OHzg28eDdEhRuoJEdl+hwr9FYamov1A1HgiMMGpL0
0QnjCBcAwePg+1c8zWtUr3uA7G4gOnks0YesYjwKqmbSzTzrsyXPvCLXvG/Dk8jBVGdTeo2R8Kpa
wH4Ivq5KDBUrc4lHT2131SyB6Yz5hl09Ipbtljh1k1x1oqJeZ1dumG4ddHLXrSWAfdYEAriYUPbc
dB5dUtpHU1vRAb3UMfHtFTnu81hfhUuweyjbFwE/AAvevSbEISYBXvPb21gXH5U9XxckxGeS7+Ys
QCBUS3w8fqS7vpe7DAl3pJJdswTNZ/DeVzw94q0lhT6mL78LvwfTk1BfkFQvujbb/Hu1fZ/xO1gD
//5qe/iI34v/crUtr/rD1YZKBd0lRS8X0eIU/u1qs37RBZKYxSv8n4r9x7ZV/4VamVA/gv0wyDkW
FfuPq83nqlwIIN99uPiAvH9ytcF8/vlqw+LoGMvvAvKJbPqnq63MWcTmvI1LDwOkXacW2DFH36dl
qWGEj0A/In11tEWl2Sueu8lYSe6AjdH7x46HP6jIT9tG6fTgabLeqbTIwSMkQD8EukRVfY3M0TDY
MoL92wFBU9ra0tRT6yErReA1EI0iwlNsT+KQEj0satMKKrdvzo5pK0KEzBh0lPGlC9tPPVTdvhrK
64YjH2i55HucjOpuMsZbt0/FkmSXB1E2kGmfl1CQ2MkuAUtkiSvq9MnnOix4V96YwT1T2t4gSmaT
wvpaeSr5ZpTmqNZtzyi8K4mdEW0I07maecYtfCRZWBqX0CQsaVTYnjsoTnvXyI1Vxa+fk5ycCooI
fksC+ooBw6qx8AH41nDO3fCSypjsBnPfNUjfUEygj7VI6YlC7Nxdjw85JHODoFGmdVTcoFSIqgcd
VdTTbo6xAjaq2XgKzkoTi3Cje9pjNbf3eNf2+E28g1PPN82QTWv6v2erdr/KRl4D4eC4MuIjbd6N
04UPUY9qbxiwAlDwNpV90JV/5kBs1yZW5cAobRfjg3xJh/woyuR1TDtm6r72OUbekq7hb5O8f3Og
A1clrAcDn0mQlhCtkNvJVZ+zeLXiKD4lCfdthnXhDXXijTelT5nuYoEsMM7mJc5oBE8DKe8lbpC2
fRY9kjwxBhJx9SaLErWaoiTm0qmJ6PSzbaGDSR09Ea3xGD5IPvqcxCwrSHq925Qzt78AARpgB7yp
Wjoh3R3STTMjRKm6F6Qy34qotLehZXyr2L1uWax0x5I431DDBs7wrt+K0QpRXrc4tPi67pROFLMO
d6tZJQbzucq2DqTh+DsCytLAIkjhMBImNKVQN7MWDhjUSR+b4sZI0Xwq0X4ieSFpSp+KgGe/CvDq
5NuEtCpCyOB4Nr4f1AnPCA4IrHgynvGn1QG7ZbLCpp6ADkbqXBoXqw/3plPexGN5EZl30LQEM8ah
KNbhcPb5ma3d3Vf10AVicm+yQjy7fnHJyjoncyyd1mE67jLgaHqdfLRl9+LmNJByROYl08rftC51
lvShz3RpuZVZdWZ6tGu14rGN1CGrIxJ1q2JvmG2A++fGzPu9reB0uMMS7ToSOpSb8xE/1mvcJteO
QF4g9ME9pLV7Mv3imvJil2sWQWLYtwKZZTPKJnJno9iALh8ZyUGlyclUyckoqtfcgFrgDa1aCSN8
tF3nWREJYxaZvcOE5a/H1BCBE9tUDyUMFizKDFgVXaLN1ssX8xhoKPcGET7PIe+vrlS7MOg4engd
kXHEnFAYV2l2COfmo8bitTHnRbHrm3tEXDOpXkSj+/xZg76Ln5Eg33YDwXJWoiY26629zvpGkEal
fxKhd2UnySnBlsx8eEnRKuu1XiSvs7AewpDPvQklsMMu16ivjTu2q2z6U+T7VnlraiytjJk0Kl/t
umV9UGOk25htf9vECnia+dDH7VnvNQYYlXcEIcAg3i1u85p8aTfRjvGQPyZOx4igG49i8jZ9lE8r
5ghOkNZ5HohyyDY58dHrWY/P7FBISEKKtdaa/DOaw4e6Qp42GSaT+4SN2xin35oKOYtESKN7w7xm
8GcGJVqgqyHS5n3nVVt3IKl6rufbybKGjdaTDpP50f0I7VWZLJLC6sr3i35rV82RXi7mFsB9UNfF
tLMGQaSUAH4LVfelaPRtF+nvdDoJurcY1gmQZ6GKR8LST5RQvNRkc9fb24Z1VC+9K7L+9mkbdvuZ
LxFqCdoph63t5BpfZ6M6OxFn9uhbGxJPN7XRfHRpgvuvfp/HaOMmPJ3tpKhzjVfJJpBdG6AlPI5h
pu/djtM0Ijy250vAaomTu4KjDB7KydDzYRN7ALF8nm3nI+s4KBNLkHSXL+s3REgdQ3LDGkgObP1L
488Ur/bwlPO9ZTcK5dkdmhiDNV4QpJ/wbqkn3ZmV6xS9c3c2G5nEivJwgjWILfbieRqEGnT+u6Zt
XpLMuHdKlQfoLB8Nt3tNsxjf4VJMtjRnq9ytDE4QYzub3hcr9MZd4zdb3t+XJmUFXJLP3YZzziLD
6AmOteZrHIPOOqzqG+48FqH8G262q85HQthRj1uVJjd+ob6Fi/wQi+A3Ky4vaerjEdPCDBl1eDZY
cYFdmuBuSb9nm9zZ2DcUQ5qOEwxR9nXMGg+TOvm2Gu4KqaI93R8Z9JyTWojdXSvvJznHbNDTN+Zd
X+nNAuwjxS4MWUYtKXkITO8Nh9y8uidCiHwrpjkxV3G5WDYojYLEmIEfakZ78Wd7HZE0li2pfF4x
XEYX3lhLYJ9uJQUosOrT09C864T6DWRabbSamL2IwL9sSf6rWDbo7FBuG6CInOYYSc92H+/ixHY0
2pLYO7Bd8etrUtJlLFZNoi9sraTu5w0eqDr+V0T+H2MZBezf19H/r3j/Jpv/MiLiVb/V0bjKlm2D
Q1wBcE2Q9r/X0QbJpa4tmMugCzdZuvyYbpNOushmAGB+nwL9EdPj/WIaLocEE2Ccav9QtIgO5+cy
GtEK+eUu+3zKeap9/v0Pmx1ZOTMD3bC96Ln1kGFWMFvnqrDb22zE1zIsfoaI4LLCsPfpNKXAd/E8
hIv7oRtVuNJrBpPuBJ6O9ekduafcRpULss/uBJBsA3PXYh/x+VklByQ8uMo4+FFjrqo4v28WNwYB
2SyK5XjWapwaRUk3PSzuDQ1A7dpdHB35chI13VBf69g9XOE6Z7efyxN7PNTfgm1vFFICmYtRpGUl
6i3eEYHonAls+RCXnoU2Gl2d3rSHGsdJiF5+AzkPw5FdfAASeQLCoC2d7l7iV9EW40pYt+d5sbLM
TvSF3US6qh01BSjSN2VzSI2TsXhg4veGnFA/Ak0fRuuhJ0OwXkwz7pShb8vHbG3ObbWp8NYgtamg
HTbfFK4bo0Md7uv8h9i/H1qcOegQqfTLjTafFKad0fbeHEw8cnHz+JOjr30MPg0y/2Rx/Ng9jHw5
GpdMNIsbSG0MT+cjsVABdFHUHtzFPcTm9Q7cun3rYywaMRixzsZZvXiOEiM2tubiQ2rdHkeSaNSm
CmW3yRe/UpgNBpGd3snEyjSpxF6hiQZeWOJka7GMLb6n2oIFQ33EPtAH0kFCC3mAi1Mq6nQrAAj7
HGkyXUkCTms9hdroPtj+/E7eSLkDUb9iZ7IhjchfS5NFfAWcYVVh04JZazLwqI8YKSiDsHL5FrVr
FhqlflPZXXnvhXj4PG6qKpOX2W6+JnKQDMu1G77g775MJEjpqDzGmfECrvDcAJcgPNKGljRYHxj0
PtjCTNu2GymhWi/cw3v4UvCIgn024yBLRIblRt0jH22vCk8/ks/6Ws3+1VwbdJQAheWgneppYhCo
45nropDWMoOx3bTtdZfOPD79QxyFX+rY9fal5Y+YK4v7cLZQn5vqubZQ19ZdtPccFvkTlbScRLH1
2vIgIueRrUZMhkMpKMDme37mcKp7p8dwLyWDJIF8coErkLyFMtdfPrwRV5aOUn5thPZzK1P8mrNS
qxZB0LE1FRYKzXWhzyXQ/dq8C+axlS+RHkb7Mo6bm1Q4PmV3vSajz9h6qnjyTMZJUUcH26d4oEyZ
8AFVJdKPFANakiU87Z15gGuIpS4lr74x1UGfPf1QewBkjTDfUQovWE2LUdbylHp4stu0m1eyLvd2
x7xOExCO8XKlaYecLNdotRFRBLAXxtVkx+6aRce6synsIC6sNdu5SQnmlW3/aIzpldOoo7Sma99u
7nu3V/RjxS7msl+VBTPUMjOu+1E9JpKlDpbXm8JWtxmzYi8bz20BKxEpAbm+qJAKmT7BxznaI8Ge
bfvQeUJHnlCiLZPEYvj5eMraeuPqjdwWE95QsxnPYWPdsmnLN+NgbFyzOppKlQRxKOaL4RtK4QsQ
omuYSTd1Cn7R69svYUj8hMrmlzxuLQx1HpmhafHWFi4NHXbCVWdWDxJF9Ih8iEqNbw2QrClDeJ06
+8QWJZZeD+8Yu6ijv7jJvt9c/255DCZDf3+FH+CS/PUCX17z4wI3HJj+DLNg53qupS/c2h+DMIN7
mgiA35xebIZ+3OAuS222PlxG8Et+Vcb+GIQhf2Wi9qMeWMzk/2DHY4ifb3Bm46CUeA8YdPEN/Ew3
Ix25MkjG7K6LTMRbKfNkPcoCL8vtZGL4WlC4cTiLjR33elxusj4bNo4B33EjLZNQ1sCeEjxN9ZL0
cUnRUbuEFivk67BSR1ErTELwK3YGZh6GRradJ4x2tRAx/RqSjyzf5kYgnnCV8pty7eoVScSj4wxw
OvFJpe27O+NQBhMj0KjpwTg2PdGyRh83u7St/DN8ofgQjQ0BKcNgP9aS/sxjxlArCa7GzqCoGPXQ
X3FSToSOJuW1m2fqjmn68EUHF4Y8KI2jL73djNsc0fuJA1zSRMrwOtUce9trabwXtlFkNOnWdAvU
nStXyeGclfgHCI/t1k1YfaKra5cD2mzevSRpg7yzoWrEoWMeYiftHsyhLshHLp2vEIr9XR/nwylC
pAnQNmFaYFt33qxzIljQRXKljzaUF9K7na7TDgSYTdeN3qTbTKUtraZRcXu0wGDA67KRm/tuX4c6
p65R+cSi+LH5Zs3VfBPPM/axzFTmF+iIzpVi1nOYsrR9WbTNGEpN84ZtWbSevUJdlMq+8ictDzV0
xnsDSVcepLrune2BGBbUffH1xOKIzgMBoEOWw873iW1IZ9+7Rjvm7Iu6RPM7sW2LrWj6aosxPzlD
2D6pYnFw+WkZLHDaM6PTnJlI3GbbiQaaL0otbg2G/Fs23O2NlVjVulO6vCJnkfjgNjsyWphBuWve
tnam8XOw43zvVUV0HGVi895SVzsnodCPRdLmEsY7nJCuY1FfT165qyJl7OyBb9HoNB3EKtMPj3mj
iSfla89Sj82TqXnVhbcfbjVkZ2cykRZaeqNfpjkeid8d0kOUlP1GYkE822013cUNgRZ9u3BgEjVu
on4Ot23dttG/J+uvzZFJs/D3J+v1e/VfVgzLa36crCbeLMEmHNQfaY7fV+Q/Tlb+SaAK4q416HTI
+Pv9ZPV+WexfFmfxrztyjuofJ6v3i+GwGePIdUwAqCzW/8HJCvPjL70RJl3TNhbSnykQAP25N2rq
trCd3pwv1WIXhJbEdHuxEFZ4CY20JkLK+2ovJsOwUl90XIeJGLGn4ENsnTBf1zgT/Z7x2uJUnIks
dvAusm/ucCslF5Hk2yn0bmB5gOlcDI81zkd2YOcBJ6TEEQkHaa9S85IuVklPzOyJI/olhD/3YjFU
djgrNVFe0eBxZC6mS3eZf2iLEdPDkTmZWDNrPJoFXk19GVdUuDfdyrppcXM6i61TNSUbYFIcnjKw
CuGYMV1z/NscNyiepwBxEzZUhxl5lGMZnfCODouJdF7spOV3YykO03mxmloqgjVu7IvFhBphaV9D
GIg36Op1SO+4VZUeZRuTLchKma6/zuCOJLmDEyv/wgZw3U289apvd6puyG0mamxHVsK4dXXuNHTk
TVmiwe6YP7eUm3ZuHMxJXrECSo6G5hzDckJM0zCyDjP3NMBACvxB3IMxAquBZSrQSsgWKOHtiwfB
pxxQNzCeApLekscEAp/ANAtSSokQtgvf2sh7SDUyxhNix+wp/NBtvVyhwUawIwqEEOlAACgbXs22
AX+ELSzNQn8gqgLqxOgcIGSMazuq7gwj39PLuUEM/gMRM/gsmbQhiYg98godN2yVsp0oW7WZ42Qi
qS2n2YqyrzAjCSmvF4WANpt3fm0gL3CyTex4BIDoRrzWOoP4iEFHnpVPZnHOREgDgcl4Hy294KB5
2aHyHAavNshE27ZWeMjTXSedvN43bSTDe2/wtCPirG+0atXGQxl/nCt2I0beHJo6emh19vN6Z+5t
rUIY0YlNGytn0zOM9PpSXpVeg9G3+JQjuyp7Hq70sX+pWtyJsNmelFmnpBv7FsT96qXHR8Awjfa2
HE8Yf+2g8dLbufP6QMpo1w3OuUTIz178qRsMPeC036dmxbuO7IvbRmSZGVsn4TZs7Uyu/Kzdpa55
ylmOs5fu3uYK/KCePfojQ+fCCQ+RWTs76AwFYW4QTZpUttskLt99PTsDzsFSHiGO8P1zmfv7zulx
s7natyRMHqU21UGkRazLTf2blVRPUO3WGGcmVnOm8d43zkYztNfe7pgLdt7ZGuue1HOR3YrMfiMq
dlEIf3Pn9mpyquvZsK+iZEYKLUGh02Sey6bY5dDjNpUrrkBcEVOSAq4x47ueXh4TzPRmug+ZtrEn
76pKkq3PGB8gHJL/stIekp4JS5flt17iaoEpm9dK6+5SocKg1KgZGJkHwiIkBRd+gRBF08R+bhEv
dzDkwaOQdt5kaP9j/4z/gsCP7JIU7MlsPnWTLPjeHaNdVsxvmO+6bUc1IDyS0PAu5VqK8LmvT2qY
D36VfDEdbEYwCtfMMGGJJ+l9lztffAb/azVSTpU16QlaVwZGEfIQy3ihlXSbouYsXPlzPgKBW1zY
//YyOvcPK/f/deOe5X8jWiyv+XHjGr8iqQCGmzac4iVe8seNi5WPfTr5yowouXUdLsMfvQxdjsHk
kCnmbx3Qjxt3aXMYbXI9wrzgZf8MceUvGu/fNeDo1dCo4Z0mTZLGadEW/PnGbWeMNcpR4pp103yi
itXhEEovrm2INBRoy4xdmT2Piohz7HN4UM+TXnB6qiRltdZhSz6zE9eBKJkRvyMK2Hdo9ibUlJ36
G+BuJqhDEsHYqg1dqsDvqkKrWDdFNkmWmav5FWKyhqQDv3fEeKs4ZABiajLaki0IU2Ysn02yJwMU
DvuudD3K+L7Dt6v3TNkbkgwird2GSn9IS/PclCLfSILQANbdlRMbdji24AfYOVWyuCrr8GQM49PU
4neBUhCuqqrYqeqAfg5oQ4TTCBdbAjKdPiMfXXRWHmEbKiTMqh/n58L1bwyd6ccSwqOpljnaiNCI
0OxqPRTeESjnNxMw8TpR/Us3OtbKiHJkvTrWDTndtLKEQCV6EQjlIx3r6w737jyus07k8DtKKval
DUQFstGZfq5Txa5k8Ppvmj1e5VjiAoXbKChC49s4VhIhYLtNEWMlOOAChLXEPZhVkDTNk3JYLab1
cMKLowic6+E7SOseC+O2dpW5DTNCD2C6rkJasQMR3xhbbHmdmvKurgeSEaorUFxBDLYDFSFCZ6aN
GI++2PBSWS31687SWeRn6zwmIQo97hGiz6apPIEjbsYV0o3pqslltvUmV9uy2wVyORvbLG/SE6SS
HUbDZwUujBB7P9lZpG+uSaa6Gd0GXp/fBUbdHXugPKtab54juWx7Mudqmoz7DiYUfVK/SkeDHI70
DkfjKXGsNYhOVsLchJsQoCzTTS3EKRPGgT76N7ojXWxW1ofMjRZ0CgwKp5TXjoFKOcaGWFrZI4mB
TwtDDZL+BSInPA0/Y5ie+3g083Sb5sXTAMpqglWmdOtVr5RcuymX3pDfj5mDp3Rxa4QxyRNwOYOp
TXu+6GZ8VVUNPFsfHWY8DM+lC3cpNTsga8OTYbcPdoswPGrmXRn7l7R1Ai31VrbTfWFJxfVbQqJS
bkb8XkZKBwAzlODqPkwJdJOpoTZyirAc2dG+7uo7JeZX0MpvtIVJMJJlxlovqZn82kZg6+qxT3RQ
S5nNSFHEOODkUXf9dyoBCo8IdJcpjXvfEVsSZx6qVt9plrwZ9GQg79u6R23krb1YB6E2atfgBM6J
W2mBlSXbMcmfE9std6UxvRfRPAIwjvaqb+xF1uZzUWbl2ioIKUE9+ZqWXODTktOSj7N35UMjW/uG
voOz1SzzBKChRMGFZm5vcDWLFTGhzBqmi2HYH02O3E429XXluo+yDuNjU1j5RhjjR5b4dyko/5XA
LbAy8hHuzTx9Dj3iclh+rHQj0w5MzyUPt+2MXe4OMghzdS9CQg3pSJhRGprkC0CWXw32H7Z5vM+i
8V3EXbnpxFIUC/+snPpsaDab3tFCJkEJyf3OFwr4z6zpn81AASKT/YRPH34tCUAwgl0rGwLYUzig
6n7rjVq/NpW4s1G5HqJuAayki2bRTM/YQY800TtAV1ew/W/xd14VeXqIu/o+jOvPbvQB0Q2EhMnw
gsf5ofJikGjTVK+wTokrn3ORs1Hy5OaIOaUadmkmn0tJEhyKDJ5ZxLpOODQbkKcd6pjhyW87cCtS
45kuK354kr2OVmfxOI5MUKjdC48AKB8W7jabkDwMH0MDqxzec7IpJ/sqFsXrOPEXNXx1n2M/3YS9
hOZK2KXVak8mW/E4ojuaMldndb4IH+VX37SZZeko6vkyVKV4qBo+sMHGMebkBAkbUUkCU+He9CkM
b4up/xJnsMrzHuR0dsd/dT2o+DIXNgnxDHiDqNfM1Zy7J5fLHV2MfmCklYAl88aDPWACr8KXGFwZ
XtzkoxgQeIb2MK4Iqyr3bdY/4tibA+ECEB9+HZr9WyV9r5Kc/znxfVD5e/Px15nv8qo/1Ek46Rin
QtZCpL/IGP9QJ4H8h3ZAhguj1z+gZizxCzNiFPeMHnSUh0sA2486aZn5YnBaBr/INZg2/pPJBIPd
n+qkZeYLUJT3gCmKE+enyQSsAB2sr1TXM0BGjkL1BjUjhmwL5EPv8bU3OY5TaIo8kiR5MOdyjKEN
6PZvilYeXD/UVi0LLoqcGixochWr9Dy5GDMl+dwksnyjnskQOi80e42U4XAwz3JefLE6fPeirS7l
qONGFW9ma7/4dTSBfvYRq+X0L742b3Nb05hoxCQzNshIIg1JWpU+OV75Vk3ysYf0jICwpV8XglSx
7lBSWHUM8+jkeXxdEDnJuc/iUyeTt1Z6BWNs96axnK+5H3kEKFEsAWsXO7ybR2XI12LSpw0GUFZM
zBKCOh8wfA6Pk1k1lH3D1raJbDZT8t8YhuakuHrf6pgURcYBp7bLH4aSAYtHoKeTeXfkon2rW/8m
cTgBzHpiqhOBcAwHeDNVDyms/Bp28jWszQtF1FewRQQ1Z020UeWAxMYtbqLK3ydxu7LT6C03sVRX
uUdRJrJFuyK/DoZ/zjSCLAsY1KvKtOb1RHok41P0LBjeTmidj7UdnsoIgA8you1EcLneDMfI9/cR
TmtyKz8TO/1wi+bBAk4QWvML91yxRkV4jeYw8HVKt2HgyDN1ighzGdGiWDzH/viZI+BfY5HeSdiE
FHF0l4VuPtuRc2d3ZP1SZT7YkfkJwro/TMnyckeprW2pl0KDNCCJbBHcyoQOJGvUrSkK2fyVoU22
NSt1bcaOTj4UDoQaW/AKPxgDgWyru8gAAGns0P4zjMkqki8rPrWiI68BxN1a2cjeaqYA8E5JaG8p
+sKiPs7LzLpJkcU7w3zn5s5uKJ2tqu06sGcCcICbL2OKEdLO3ELbVHzjHKA3xAfwJZ5aPsPCrCB1
N/M9DAx+a+nh/+63hF/cz551TAYGX66JFLaFuLqOUCmsembpnRxfYFKTrCmqL7ohm1Upw6AZ2MBT
g+yBgpFGqsV7nXy9teYSQK7rcoenYAeBX9F6aEwW4gHPX+99/B97Z7YbObJl2V9p9DsTnAegq4H2
eZDc5ZoVL4RGzqRxpvHra1FxI1OKyIisrAGoQt+3TCjklLuTZsfO2XttKrkzdyCIR9SxWJIXwLRX
SjbdLl8GGfGBJW0snXKTuzGjYmieatS/HNdJ+DOnWUA22PrezKlbqOS9YJvqXkiVmfR3uptU3bJS
6jC65WPwm6PeOOSs25ShK5ucs/zagchbLMxGUAx7FbT6ueaylaFsiiCslVipjXIIHqJWLOuUW2hm
hqZ/EHWNZQARnMu+pFrBhu0quGJiM1ElrOGEbGKHmS0yloPTGRb++XRcoHity23rqDAiygj/Mx46
g2yCWhJO2KenorCHcq3Ghn6f9ChWz9NctKwzaagtBtt5VgNSdhEUyypj5/NhbaN4M3HiRJHuBNcq
mR71g+53gb9AHKYDOlAz2/+CbZECUCV+lz0Z+LGY/3O7fN8uNXaXn7fxcUY9FelL8+OGOf3etw1T
x4+rUpBiXXuX/XNw/7Zh6vh7NToLtC8MEyca89NvbgGN7gFHfhWpPs36dwXUPzZM2Gwwe2gDTK86
tQX+lhFu2g4/thWI/Jqcuy5xPUwZ6Ifz8w8ip6aVfUkSS3/RqrsgxqxzWdTrDx/Kn7jXTZWa4MNF
eBeMHBz0eIx2dVoY1ne9CyLIjThOanFh9F4Ml8q06gRKpaHnxkU4FdnEldtDchqLyHYPUzDQfRU4
enJyGRDMOcQM+k7HHVtjNS1DuPM+hwhEqmOkyVlLALeU6YVPDk9aKOQFeRulLK4albmCDEkILZ3L
Iao34Ps57mXEWkSNtqAM3cEgO9ILfkolDAbfJy1HbOM0vodIpM3HKDwGTb109XTrhFDVtKF6q9pJ
Th/1i7REWB+VJEgonOZnjdVvyg6/WgsODGlLadQgVfL7wFa35AlQ82tiVw75a0qqGApPcyZk9upD
dED/IZBqqYOL5KZaYcs68xtnskVXxqzq0fMKR32aICAGbZiFZubXxJ6zHOo31YCTVo+auyTjSBPK
/rm2zZ00q3xVxuI8D4d+4ZUONXrkW3O/qIhjphvtmIiZAmmco6EHkFEbp7THmjZ27b0SG6uxJ2gB
O3qGqbl5Q6ORzt1ILyBZFhd5Ye6dHgiRgIQ9S5My3thEiJGUaIDUjNt8GQmdo1GHHNcU451GfpMx
CarxiFxa6ETZbagnMgS5nps8KPCMZjooT09r4kNKc3seKsmOqotOjVaaM80NGCQ/G3Gx8lob70Sv
z82hrIEv5Xf+2BEtWdJxLwJtV7lttWg6Zz061rOIkGP3EtCeYz67JDtAPoneWNU7LAWENpWNdx2U
9psZwRZCSM9otp9rdbwJddRchJ7PiyC76PT6SYtjXOxmo8yMJN+mETk3Jp3fyCUQqDVistXrpl+a
iurRpGgvmLnedEFbz5W0we0VVkscFVdIastF4QTtPPcN5u9Vhbrboc3D9+e58ZWODy3pOCuT2n6X
wJabRdJ+Q6X7xWJyPAt73UDKxOyKPSk5R2xQzYM4EnPWlZtAlle5acE8TQxoXg5Bm0WIFn0YvnRx
yt1DKO+SPaqfOQ79Btu/tjuVM3acv5pab6+6Sr1JgvSmjqA+D4obLbqADpCjvDWK+6AQNzyzk3Du
GBqB9MP7luNgltVBoEumKDp3/7I3q9LfCD4Nb/S08toK+nGG4pi73EuTm0QlHcQawWLYRn9dlsTD
j+I1Q9QVTVmbaSFeCEwhOdWJKBPBsqySHqtrFcV3ptksUttP57V9m3vLYS1DGZ9l6AUjRbms2tjD
gxJDc8FDj2+0g9iuOGjkibQq5nWKHnjk/g0MBPGFwWzbwr1RKQiy67ng2aTjLg514dyHrvUaqUM5
Y+0sqSm0VZaKeRfKveGaj8rQkuEeAV9vHwK6pdOac1nl2hLJ5mWhGdteUy6lxOqkBLeAlB5qhkuF
pu69HiqSg4QxQ7JfN6uxTcg9kS9tN7GlHPAFdZMsSWeZJ2hBnbpC9OVaq0p0BwffYVVSEwPEXgD0
5fzhIcuLSSHwFeUom+o2i7xk6ev1K4zhlV4Od0r9arXciZ3trAwzdjicYHRkmuD3OD7jVnLwUDvp
3DoBkMOyrPR5HEAqsFzRiENiGPdZYUIlHxF1dTkxV2nMujVLClNQJ1qjsW5kUdFhI6nDNbJb/EAr
xKf3fZ/e1qXyoGaVcVJba7xgwytXVVo+ljpBqZXxMvjusRxRpXFGWeSZi9o/ITmKoh7bSAweIRsz
79rMXHkeZOFVFARPMcejeZ/AUKpG6SwFFEjejyrnzJYecp1vsQ+vo4hkZs/A2NbV9xx2xitXoUfo
K5RnwCJrEA/sPYT9sAa0SooevBXjUSHM4dqODQm6CNsSzDcr5ymv73yvbikFnWzD0+wuyrRZmHbX
bTqt6deUoOSc0R6myFYxAaSYz4KGtoWSIhDpQVJOvQmCiZrLGlhWCXWOZh4dMMVHiQlMZ7S1a2EV
95U2XAVWZW89s70vJnaOiYXj66SHcJI/p65+dgG+b7rw/ZC92Ry3HWuCbX/c2eFoMdPWy/aicCl3
NeiW1zZ/tcUpNDbvfr3Ff64ipmvhgiRWEUSQ6XAGY3jy8Vp1jQGJ8Vh/gefFT25LuQqV2//YJb47
12O1T9O+TfsLwYOJJBiW2RdTXP07LkL/gOAmJjb6pDv/9D7CJKGN3vcXRnVdFmd0TpVu++tL/Pi1
8FF9uMSkrPhUcBHipJlDf2G6V1m5GjMAAP0xdx5j+RdXoqfyXdX1+UrTX/LhSvReLWBcvJmSlryW
2/NQ37XZed8tu4yD4zj79Rv7LAn5eg8wOLNIiEHWB2Xv8+WIVB7GqtH6i7S81xAiOfZ1EO5ldv9+
mX+KMVU+sJ+fNVYVbr4/kWNOv/XtpIHmErUcn7zqgMn4JMckwAfgJ2PK388M304ahvMbZwgUQ8Cj
JznRR0OF9Rsdex5nyyE7VfubuCDHoWv44YZkhMkslPBj+EMaJCsO4p/vkASRpAcr3zmAHNgFTdnl
502vS3seZ50QEwGnHSEiwv/JwiwYbgsvVOWi8PLJ0RSH9LnrKzL85CKscyxjTbsu+2CRAEBHL5Lr
7LipzS4ZP1EXRTMjt6KlVKhacuK1NI/+OZ5SGIHZZZ4lDDcLLTk1jgivANBsPE7xuePjaSO9MFAj
5YA52IXG1pVLjs3Bg8SwdOG/9wTCFGemlaOJpGE2jdDs9w6C9d5NsAmSXPmVF/ZAe6d+Q/nee2jN
rCakk45E8t6bqJOCJhhYzo2uVuckDu761rq0AhhyvpPfquMUNU/Lh3bSM8pOuh5h+0S8XQRSKV7S
eH8Kp+S1SjGx2el39jDctlQJcwMBvtIpCyUz81kQkY1jCoEGQWJbqHPHnOrRyQfpwqBMvuiBdZW4
MIljspClEr3onnOdtSaiHsYFdcaHYrnNiYGImJGBWm56Xp/xsUi+yEnMmQCtU0kKWJTlJC1J3esy
1fRVQSeGfBOK5iHWNyET2rzrqkXWR5wG2Act6HgzMvfAPtIvXOoYHJeJKneG0E++3mbz0QhJDjL1
TZFIjSkQ8xhPDvpWdhqUoFZ9UTGPusCdSMy0fHJn6nWWe49BWJDX4OxrAxNs5CoU7aN3hX2MwpSg
u8FXXiyPBqw6wCQSh6AiZrXzq4WoRnsDEQ9TIWpXQhZAPtH4IpYge+5pCi46md9zSzM59zpnY5tN
suL2OpmMPmeNWxwaK1aoGv0LIkBPFgMlqKfapS8UpuKpEyJ8q7BxWl09534DHFnco17DsRs0u4Zv
sKnbFYY6rJMWJFBbLYvlmJvbrJPHobTutLo5IEm7jkFqziO1vs2C8HJKBCTRBjR4YCtbIFbQrMLq
Ujr+tdoDfyopNXstEgsiH2hmR5FcaJV/wYB8I1Mf3e2gPFelEoKkEslaWsRDjZqXzhn6Zwvo5WuX
Ez3HTTnuCuEc40liXLgck0SbG/OsQ6tXmv0Z2q2XFKVZRH9rUdXRuR0L+tmqswdqr61VD7GqhHij
8QAsTC1+RIjWo4xtjgjO7jslVOc86kyIZcYG1RpvmWzHWSKKy3YU8waC4sgnw9llyoqdhj4N0x99
GgMpJnenHzDkrpkRofMa163j3FvT9EjjG+6mgVJa6Vs4Q8bCcN2zcBo62dP4SZ0GUX0ZHyMmUzYT
qoxJFcx3ZdaHCIh6plhR5l3o01jLngZcvegNOFu0S0umXwgbO7qP6pvPXIwG3jMClW3ZM2ePptGZ
r+ivJrO0ehqqZVl2m01jNp15m5wGbxETuIJJnKUU0uomEkpt7hxzsE9G7AoH5A41rgzLJ6PnaKtb
JU+5I2bTJNNWhmY5JsWaoJKnytAfStczNp6K3E4wAxhpmCL9CMlwqmxGsWBgZl4onzFR1FvVIdYk
bzjNCzXdEHZN68SBV5yFxhdhm1dNBjy3J5ZvRcR0v6haYEaxEDmeGvXQESu1TCzjtRslXHvLPo9j
vVt0OKI3gNU4cigmZ9m2BMegwt3vzf5Z6XiStRoxiOr31iEaLKw5dTksXORcC0MvL/vcrnfSJUxM
IxwyiVAGGpz+moDCPLIwu8s4FJxF+63MCK7IBzhKigmn3sG3PBjcrVCjn20nh9/OkH1p5f4qMA25
sfOq3BbCXCUkjy1Cx05XLsj1Gesho/u4/FJxyso5CAa9vy7aPES2T/yuxXADq0qvzryGicOg5LB8
sACe7FzHLV1qW7Jdz2KOqasmi911XRJshc5ARSAi5Q4C3UuCo2sV0g/Z6QLagyXIpUqGIN+EeT7e
jEhPFmYvlZVFMNxMyfleAyJU0b92WzJBJxGMCzzHIpYy9Xa+N+6ViMGFqzHm8JPxRJYjVnuHQw7g
aCSTZC61xLC1nbwQbXid66NkQ9TSFa4xNKyhUhGn3jzbZdbByTDd9eA2JEtqQTPHycRANQ0vmgih
vD+qi6SIurUQ4x4I1hleuAUgn4uuAslhxBD0db+nMeFUB8+Kn12S8xhO49thYoaUQ7EwEloYj1y5
9O2APgsH75mqIptok8ciUS7SKrpKUFMCc1btZTz17itTvKYwhgI0j2h2TQhZkclLRnq+6FOw1WQZ
M22IDr7XkuqGnmfRl5U/L/wEgSXErXiIg9sSvRNBUA+23sAr5dElKvmtypoHy2DYETYH0XErm032
jGHBW5LSCxIgS2/bglNoEUVkcinKaVSFuuAghx3a8vG7JfsUg9l8gj6DSmEB07TXwa03TuufuUj2
gWzLHWgobxIzz2Irv2NedYAHAjBBotapwNLyhe7KWttbafaiCPetHxS0C1jySP7e+HX86irdCr9F
s65JFa4FP8XRfKvGKpHj+wwCJ/3GraiTR6+Nn4ginQtAIrO4crZtRFyb1biouOxqh4RxBQ+JrydT
olks6v0wcj9HnFhXum6+Gip+Ld1yrqI44B+zgINHPIuqybWigsvTeOzWVG5fqMC20VCsSiqdmdHY
u9EqMiDIiLJLd+Z7/Z1m8OJiAPfqx/ukt8O1kTXPJFPcBUhg5oLAMcAghK7lt5rBhufBWLdClDDS
NQ5DEt1UPeNY9Cocm7GtCwiMUvc9KCcoYhQmfsh0aL6aiL2KYQSHBBxe67NZYQBNrrMsWEU+j04+
GiwWFfzkruStudgXQupOPPrRUsmNqXqoEHKEu17Gb6FmRaugd49Si9fFuK5RVuhwvmVOr+/MVZLr
MO0gT5gmNhbXWscx3iCJrKUwxifD7Vd2Hzy5dnRm6i2MK18N+bLKR/SqU+hwjwNfqF215/G5DiRN
mqhxb0mbIqOO9m4N5WVjBOlGL9Jt1yQL3zXEKberDGsi0EdS4hAeKndhVxR4gPS8rnbJwFuG+k3u
bEdyR6dIAh6sL7lqRcrCBHBIiCI8SJKtk12BL3Q2JDSUVKVaj14AJQe3iUK40yJPUONEwCVhfbcL
hB73vquNy9ztSujUgUZ+b3xjVPlVj59lVRvmWxlXd8hyrFlG4aX4pJMwad+Gjvko8uFiiEgnDx36
3GGEepi6C7xNAuTd6gHEKrIY2E5ooCUqG1vNlsb3N3131OatByLNC0HYa+YsFeZiaJxD10RHr3XO
NNf2ZnkdP2qexLFvnkEDoLopxBN7i8RpSAxT7tKjjMwd5plXcAL5eoyRG8nO3Zhde0EwZ0iRB4uM
owTS/rBfIPp+qfqMJKxQoe1REIpR22dmmV7qUMvzhmawlRX9hnWXQCNj7UiaQMDEarRQPNGxzgUx
984TMyWLA+BCVdOZHUW8FjrVrqclX5IympvhMQG8HVsIYgZja1V4GD23Oyh1Xs5y0RwzK34RsgIV
qpFEKqNDEagHy5OrNO8Opn600fuSkLyoKiXYdWpxR8L8tgmjh8ZpbgScc7jJ6pKcXyaAV0MAk7zO
DrLUv0RC23i1wsqYBVtaZOMWagNq7/gmjPCQEoXjL0PSFPasCl/MrOjusrEL8JnG+wH8ClykuJhj
PqIlAMuFdtW96NTHIU5OfZ8/JsLFLVs33AlQ4a3iLDLCu6wPo699g38e6A06JD8/0F8RJrKqHvPn
qH7+k3P99MvfzvU4fpjMOa6pWg7I32lG9/sE0QAD7GDC+ANF9k2a7MDLxJkJLOH33/omuXF+IwyK
RoGq/TukyVNv7+MEEeUO2h4kDdb0ojQYPp/qSSVQ3divRqjUd6Xr0xtv/m5niVfFLu7gbfJ0LvFd
dxH7gi0GYZD9NgA7UAmnRwlgvdCW/fAFXHz9mz9itj+/EzpY313nu+4fLBGBw8bSjpbAs1ARovvy
6wu89w//+Kx+vMJ3LblAIyi2hS541AcIxeaN473hqJh7Cqsg6ei6Oq+7B9Fu2uiiQcWjRa9xuAqC
C70gtA/f0UQm3tsWNETUpgF59vFVT2N78LK/+CgmV++Hb/XHv5Q208fmoREpftNX02dBjAeVcynu
2o4IWs089pB5ALswoyIWCaoD/8ne+FVS8PPu9XSB7z8qil2LGfckvH+nc3zoXuZ0SZtOdeSRYWyk
zTWUGWcJ5rdmLhk+ijmD5Lzdxi5S7qGeWW1/qaXUpz3ZqfNOVcZ5NZ0bkdyoHQcKddd7TVut0+xe
z4xd76us0roSazcDDIW1kXjoeIFfzPIYzphNsmyLuqkrV1ojF10j1+F47OxomQGBLSASo91dV2iV
M/2CXBhE7djmoU3U19ijzo0mRWXK3pfzB1DtEZc1dyDzSHbkxLpGs1wubChUY8lJmW221Vp0kIS8
i40s7+s4I6IQsU+f7yH1neL4PB6ydZfrxQ1+45kwRmNZAAUFvkyYwSzuGMBaUWAuzKgEk+dm5rJI
0odGEaQIjtXMs3yAssE/0lF/+g0Z3yvtvnvwpzy6j7cIvlmwBUM9HtW1sfG341lzZ6zdbXXEwnyG
aXdO4bPw5nJlzHfVLlsVi+FB2SarZq2u7fNoFX8Nev/pH/RDZ/27x/c7lYGZpi2KL25ZgkcIasg5
w2I+W5XqXyxHf3ZnflyOvlvwaMaNaRhyHcbZ6fXwUgZzFE1wUW3/Lx6CSTbyy4dgElZ8eAgYYqaV
Qf7OMTTm8QUxKxArqmDW10sAsMGRg+qvF6g/WwHxs9DBnzQhdLQ+Xw+S4uA4qaEfe2Rv+fgEOeTX
F5he4Ien+sMFvvvsqHedvAt0tIHdoiVDDiVaPSR/8S7+6iLfrbLeADmOzGz96HWQSXaNfa3bX379
Pqa/81fv47vlUbJXV1Vm6Uf8RNjl+plqX3rxwcPE9X6h/+zq6Dx6roq6eGv+z/TKzwX1ZBSEzf/9
/L+ENv7jwovH5vHT/1DvRo08ta+VvHyt6Vd/swdP//Lf+sP/9fr+KtdSvP7L/358yWDmR3VTRc+N
/qNGarJR/bw8emif/sQiPf3O71URiCjVwxJF/cPocZIU/14Vab/ZTEIMD7szc0mHq3+rirByGZ5p
IUXW+SfvtdS3qgjAuOYamsePplnH36OwItP6dIsw7cAh7aBnRvaMC0Ob6FYfn920qRp1KAb12MQc
u7zcWuOjVfa60k7iF02QowsRuc1Nj2OxX4OnYJtraAVOw2j2McQI2P8hG4G9nJkuKPC6tzGwoNp3
B3FejQrdAKiijfusdcTE6xlHGYyOi9Hut57vrjB8kHmO/rWd9ibOUWgfoEj0ebUxcXtelwGClECI
ZxvVRNGKG05mYm5iicZYWj6nklNyUTNGKPt+w5F/oKdThPmJxWOtxaZ5oRj23rd7WNG9ikepV/yF
olWMUNISiHPz6LTBs59xfIaloaI4EuXWzRFslIVy2aRueuE1FTHwdujNUgNFri9Rr/iRbeIwxTGT
+xJKpkkymGe81JF9Cq3y4DagmkWY3Ee6cd0Unlgosf4qEgikWL9uyARYRiQQt7YSzrJR2/il94Jo
O5/FIfYQbzjlKimNtv6Q5cEeusO1FnNQt6bQrUpXr4UT40vgS2jo4c1Tn46G3liPsgXZUTv1Pfma
JASJSIN5hafBVC+AAmqL0I9OkTcdgbPe7XdSkjwkc/GmTsBuOz+4Y7TvZBFsjbjG9+NBF7Q4tY9V
xkSA5IiYyRRcyHThjERflorScnQEocLm3aR1snGLKltihXaPni7kOs1dfdbZZMDlpUf0Q/Wql5im
vdEJTkqb0MmPLDwbXXIopf6WFpak12ZjUw9j3TukIab0POdA6ifkjDVWlqxyhKa7AGpUmFUIa1P3
2CsFAzPbU2eBLN4gdhqcgdGTV/qBc3mO+InSoolMWpYt/hXNUtYxGe/zTmu/2CK8TRLcbFWLK10P
8wVaVD63gA83zfHMu/V460QSin7xhJ9v3aIr2Jm5ctJc8WaGctmGIFtLdFg5GK+52lTGliCLrbCz
3dBYSzMw6OUkR1TXA1owzOpqEd+pvX9jZUq9ge9XzEPFuamawOLP1s98oddkxrVkfZW0W1tVvcxk
s1P7aF0m8WWE8Igh3kOvVk9EehfEdmj1Qtbdwa1onFQ2PMhCzc8tlw/XMpUddh1zbat+tqKvkSzy
wDlTS+2ZnqqxqBt5JwydUFtNrETNfLBoON7LodsmtFnnXa4e+rR/CvmskTEKrMk2/KlCF/dGLs69
ol7abrGKSZRFguc/Nyp5aRXaRSXtyzleyIJM6nZP0kYJyTeFRSCtl6a3zvsSQFTmxmelj7InEhlZ
0rq+jsP6ixuXe5KQbrRkvNWU+sTfB9/RtGZe751XQ57Sj28XwdihGNSSc7dEx92O6mXtGV9k44kj
IbKg0QZl2CmJVLZFBnIYPP5Zl5RXJtG0oUguXTu3aAAi4pmZBhMH3+FVRlJANhmDx8ovW1jUSgrr
FqeUSqPUJS0YHXxN9nfhJHM6FOpMukzrMKiCVyYYHG1MuvBDdGxDMJzwnGOptlQwM1r8tdb6z95o
16/F4ZF02M8b63/nfdakXfDzffaqbZrX6sfdefqtDzutiZlGh6CEWBlT86edFo0Rw3OT/jd7MAXq
HzutoUEncadkoK/+598tP7im+WY52LEBTwh1/T9m+WGnhZRGiqmJzhih8XdVa6fnelMqnjzSoahX
qpLmy5qQoGSWGBDx9q4aD9A+OotprOXzhPXsoWpmrXma2VSn7TUKVetsmLbcLua+bNkApsbKPJVG
vdK1xjvY02bNBFycdLPC4YEidJ/JwFrX7O7edDsq3Jd5CVtQC8dTFnEC8aebVxEdGj7u53G6sfPp
Fg8EN3tUoJFE32ow7gjoO/JMUB7QIc4gRma+tVSnBwcxIyP46WHSSJ12YSLziEU8a3ifXnuevYJn
UEwPY6VOY+DpAQ2mduk4PbRqiwlJnxAZvIrPc028bL+gib2op0fe59nn7D0rp8UAD/lJZXXIKAQ8
VgscOl9UxVjH0zISjQhvc1YWE0LRrGWtGYX7Mk6Lj5yWIVfv9nJamCCblMSl0NEMaSh7rF7JtIxZ
rGdkISwdpTxnlHYfQ0GfOdPSF02LYG/JpzHSDxp+6GXvissoDNI5NojSvagNV5FrpSVhAy4m8km1
7+YlWk9XozIgM0TH+Ej6wpr0kn2reSuNbJHRJW7bcrp9DhQJxee7F53EibzFVmVmMSznKajEC0jj
6HXzTrQEn0xhJqUplt0Ub1LLV9+xl7pOGaCTfyJl/tY6AS7iKRoFgH6x0qa4FJfcFL9if3WmKBUR
i1NItoo7haxoU9wKWar2pCwkfpQslk5vbmOyWdoppMW2mV1PbmXyNJkQTWCpnJ3QPg19cEeWLAjv
rN4HU/RLN4XAuFMcjAs/B/9Q0NDexaTspHmEi54AmWKKkommTBmyZZL3kBnSZvzerRYSLDPbfPSI
m3tiVBSPzkBIDd20CIcbggAMW+aib5JkKQIzQqPdgvjTRrEYptCboAnQUOBYwpaub3SScRrA0/M2
TzyU7KMyi0okDoZp4nvvT7aGONMx/Fk+ZO6SkMazzNY3tuuS0hJ4xyGvayaFUK2dUNuqpH3NbKE1
DBAYOMXpcCwGZVsV4MxlnzyTOnMXZ8aTkP1FbLbDlOT0yiJFXEDAiK13D11vqUu6QNWMPPTuzJP1
hSGMF6zFUMREuDFS+dTHlNh6fhXlKeNua3xIywYEqGIFK9eK45UISKBvfGS7RXki+p16LE5e4xG9
C6Op9djCB9JTBWqrOW1JQXRVhAF4siBKlyCF7vK+uNOqEEN5Z6JviL/kkK/5+otmJuAZzNB+njNs
vI0rZQ+Pbkfaokr2jIXZWOx88r3mbYHz39K0GRnuDw0BAU5cnFHz4YhzpnCTwLlvRliRSWB4m04A
Caozen49YBVcA5551JOCDMnSGqOvLcv/37dF3C6/3Bb/X8om//LDCfTrr33cF22XW/c9Ss9wPu6L
+m9I8OgCYJNV2Qf50bd9kb48VhiDPYtNVX3fTb+dQJ3fTOSTxINAVfxK/fp2Cr/42nzgAP/Tdpim
fW6ITSfQCc41jQ7onOPH/a575A5B6bVu2B5jqP07N/VMqBvD3s3Tcm611a2N0qeMm2STF046voYF
Gu5TK+VMlujMXG1IT15IAECTyFMTmLuizpgMp2jKGM91MwcD/pr0CHNmCrrUGBi2PQ8WR0r4pnVf
BwzkujJfZRxskL4E4gEtCqIHXEIzpxki2KY6G203KOPOYroY+nPpyoiIkmTBc6eQLF29kVc3ziNF
9ddSK9pZqCXeNm2D7lZ4rrvXARCcu1TNay26Ei1q/qWL23UltMnHUJHq63QeIhpapkRD4avVbSDI
lebtE6dqliV8MavRm5U1iAN8+27WGYW36lKUEfS/mYiGOdmEfX3QashATV4+VH1whqJqOSkT9Vpn
/wz2/YhyrIkFdQQeIyT66GhawCuc4EjO9pVmycWCN8oB+wsBUZ2/KqfedDt1qd2wZohXtZfYN67c
9562YF7ZnCLOdhuLRndehjaIIVnnV3ajcnQMW9/pZobjm2tD6+FuWL71lvhtv4UD2a5Zl5PFmOUX
Mq4Ptil2eRoeSlXfu42yKup+p2T2ohiDVV2SDBDD7Y3ES5/rl1HjPfyXNK/+59XU0wju5zX1+SM+
qh9L6umXfl86WB9w8NFCR3v7FeL3e/OKCCEdZClSWY8CetLtf1s60PdOzzEOevztDuvKHy5657fJ
wge5yLBoOU22/O+Wil8tHbo29cr/6G9OSwcTd5Y1cA/8Fbzg5+YV2A3iexV1PBpZeFsakJFTKiDG
2YwutBEic2mvCVveWhKkzODdYorACN7ivMk8+zp2zXOjaLYZwxQMHowfHAd95jIKe3GTFh58VV09
BQq48KaPAgRlaaw86SkpRERMGF24d/wuG3BUqWiLUife1MQ/LDPKgZOaC0AerX3VJ1BvXCSSRBqT
O5kbCxHSNSqH4lpK5ZYm2o1RWO1MJREEsV6/tRV5DCN3p+GIQ3P3XHEyJxGiJytevRSxfuG58C+6
Ol+E8ANnfpOcd6LC0ufnb7ICQBrq2go4crDASEvcsz4c6V89lmlM/HlntAsCNl/KPhsXjUpyuDe4
y0Bt0OwUAMUTiEuUAoopt/1QKPOwD/Zai5c/gRSkhfuxdeag6xyEORjINerpqhN3oeo9KKZDwySF
qkwBTbPmNomAPVXxeNNU/aprNXHQfKJ3RPGmqxqrXnTptWJayrIzEWRbLZO3Sd3uIRbQj7LkQlUk
9YxhQIaOiK9QlKSZGWmyKWsFS1lok7mCYMPX1Rb5WugedSnkfJRlQoYK+cMhBPnGA4VexKisMxhS
S5cYmHlOCtzcVp3nUAa73NDkGqYaZdagcXLQt0ywN21bHf2U5FAD8RR026oUlMUUS+uGmS7Bc2m2
NRoq09oi6wPSjlGQWRLmJJCo/lOCcjhJGQFPhWCcD4+BzSGL1ySuclrkJ8tf2Nn4SpVHtcLMWnWI
YjXghVrtvZIi655jtKWOVpHbMoa1z9LeoGTPqyuSp82D3mTFXtMDJBKOFy/Gqt2EoKQQWMG2STvy
tbNMW+cEyK9S7v9DG7lrRzG3Slnfci7dqK1+23cNLMOwVhdNrWsHBM3xmcgLVH5gZyEU4rrwO7TC
+YA8DEPntK1p6kEMhn7CZOlsoqRbe8DeZR/ssoRTxFDqj0QAW4R1y+gIlBMpNOhe6dJ6aup+ocko
nVt9/iTrYqV30X0RUJF72MqCkO8zTmV6ZHw/i5ghfljU/lFwfByXT2vAH2vE1xExo0t67zYtbtK1
P68Rwhi6JFU87ZhmN4n5Qnpgn23/9iU8z7ENU2WNRBdII/9jD12KYKhjGsJHIpna5EKK69z7Zz7H
VwTttKb/fI/av1Z/tkXxO9+2KIB4tmaDeLEReLANMSv8fYtSf9M8qldQsu9TlA/zFWgu3AomFiri
5z7PV8x30AvjmumesXQIe39ji3J+2KE8fG0aU0qdNQV8zDR++TAadTQRsF6OzcGhLz9Luoi5qBvq
tNBL01s7nftI1lu/KoUVLolijWnaZrXbol52Ij1+iHRUzsfQL9pya0a1AMHWxr26FIr1r+ydyXIc
R7Ztf+X9QMg8Oo+IafaJLgEkQACchAEg4NH3/dff5ZRURaokXdOdvhqVFSkwkZke7n7O2Xvt3rut
sOiOt8VY3VQQsx6QJVoB+8ri7ZJ2aUlHjpKvdubCES9mta9ECDJc0auEw1FoyrjlLNGu+w5Mrt2p
6Y9OaOSJvTW/AxoIvE9QCU7ZYqFwtAkXi+kyFVNsXuQ5YRhntZCijLs8TLDZguUg6EGJDaNThbyt
kxuiNpI9fdh6O9ahuR9S9pZxqpe9oFv+ZRmiHtxaMMtla7f9rLhNB8u0zXo0lsRzhwYKQKcykIRX
i7zu5zYqN5VVynMsJSRLRMloLosZrBODlu6c2lkTbLlJZqcJuKC1rz3+/6xISlhGJ4DTWqs0YaQR
ld4R/4cttt9X5v/vNagrTGaWf/2IXr9++2j+owT99af+9ZAGXBZpzNKdddko9Xz0h4fUpZx0IEjY
NPkkf/X7PdL7xdM7NjNO27c1fenf90hATdLm2eUHbKah/wwu4UhdYv77jOAe6cPFhPoALApPJWGU
Pz+l0Hjn1upMdQqDfOdpXXTXfs+daG5QyTxVSKerqQvg+MwXnlZVF7m6zsr+IJBbO1p3PQYujTEI
TdSolxPB8KslSGAbDGJjItsutH6700puH0m30NruMA6CLf2fd7Ovkk3n9zcdBObBHF4IS/40EYi7
WinO/PyrDGjQDqP60tDyOhTIylU+hmsvdEG+dWa56xGfl1qFrkzrBStPsam1Qh2lbLshotfZ4Wf7
HMb2g90AbahWtvvk8K1zxO5lGt2h/H9dEMGDzaVzpHXxpRsv2xSpvKs18z21HtYNeketV77RjXqP
ENjnLsrWBg7yhtixFK2xeWsgx08ydV0iz0+0Tj9pSL5pke7TwboVhT2tSB/sQFCi78+00p8Hlktg
O74jNAfZb/bxKo38bLdE3AEzkTwMmAbQe9O6E13NW4LGBpnh3GIx4KJDIs7YAFLEtmNgQ4iwI0Td
BJsTx443RkA8sCwoE2yRKnExSO1nKHsX4XHcIvuJxPKIx604BNzBMfV7CX0BXBFs58kuSKdvxI/O
F2qISDIsBDGQ2k9hA12mBWlfSW21cEiom/swvJu1DyOC2bCbFQOgIMvxXWu/RqGdG6U09qX29Mfe
rsTaMbOr7VtlkxNaRUDwlIeSGCuIpz0hDkYN3CEhkrB62XraOZKp/L0LIqwq2lVCWkG+zbTThCTg
r1AHQRE11TWgAoTJ2peCGW+XaKeKwLISh2a3HbSLxcLOkoZetPGsgdup9rr4vefeCO1/aeD4rlW/
vPeNsNG+98Gq136ZRDtneu2hibWbBtHKtZc7ONsm+dFUAwCAwLwpRhjBdsdSdh0qDTVAR6/U7BMh
Ic9kwH0dtIsnzlvWkO9lh66dwCWo8Wxo10+I/cfTPqAxhzmUqgKFmHYJ1diFQu0bqp3MORi5+xIk
1huRa1xp8RhZU3ttQH/lc/bhIWBEWqL6bQ4czSX0am9TtIG8o5/cORfmYpvIvVm88XbSrEF7xI4V
PU2KZ95K/XKd9TSUZ/r0syYVemP+QphmixCeOXqoeYa0N75MSjs0Netwig3yKLT6QHMQU4CIxHOO
+xFEIhzKAhAqUCuSCOUl6Jh6RbBOApu9eFiALGLpu+o1dZGh9GcMhtGyo2Nh+ZeDjykOTOMCrtEC
2xgZ0bXQHMdyThTk0B6/XePci1IOGOXgPtYAIH1NgvRAQgLvgA2Z8ouTaNUCjRTAIyUQyVbTJEvG
myU5iBeIOV8togBX3+Fe9UQeezwP8iJeOjiSasJfmnhd9wR+dCiJBycDmjl1U55tGkZfymkaX6bQ
Qk0uRTs0Bzv23a9M5d2Lrq0ydZupTPlHZl3O11BJK7xO3Djd50HabfogfDIjR27dyWJphCoDreok
B6dE6z4mlMAj627rIuNYsQpfeqc/LCn1Nonch0iSiOvNDDCoxrGMleGdvyz06sl8xyi+EOyZ32ZS
pY+9yQ6XVzHbU5pZ214ln6rx7hpJWrUxuruZq9QBnE6G0dG7t4PuWz4PX2oX8T1P8d4PuZ4EfbSq
xXIbOPFln86MjCvxak7s42WBFRV/rjma2bojH/hQg9JlrYWnORXWemZEAVkywaqrRjM9FtqA0drF
q1cOEfJZSkEPl0acJm8WspMymeCyWruinisC6N19qA0eSls9PDwfYiLgnYYF8gqXSLJlHxO3bQz+
SWm7yIBvROIfwaB/DLWhxMNZYuaOydAOs0mmbSdePp5zbUSJtCWl0eaUQttUsPnlq4TASyhp3+l1
e3sQJgqZEja+rO/jxA02WeMhS6hvS22FQWJD3ixQijqybhxtl3EVJrGmoY+Ak4YI4dsSZ42Bp2Fd
CvmU+MN7os0345RdjtqOM0zdZQhyx8Wng+b/NGvjjoWDp9JWnj6pdnEg8BL5GBYx++AIUuQtluaq
xwlUEEuydunpEty04bJ99gKwbybOITkQQDlqM5Htd5eJthfl2mhUzNMOneyFoy1IfYy6I8aVBAGK
/ZnmSTpg4jTicxbmrzUeJqvmz7r5asDelNp81cLHV62dTx4WqNxUHwnwPpeOUmnwtyFmqW7ANoF5
KreiXwvX/94nXa5ff32ffKAricbvPxuT+sd+v1DiNaAbIGj5UXJTYv2oqrN/kT9qAH67TTom1AHY
ZZ6J+trWgU7/vk0Gv/DnaPdRCOA2QKj3j0q+P3DEuE0iBA9geloB/6NvvX+4TRZw/mqiR24Ls3II
srF6pOizZpq7QHV1jTZNw+DrGNX3esi/LjqUFBfnmUYL1xzvbR4I3qjIL21Q7tQ60LTTz37veDei
A+BtYKBZlRV4LkBHA88goahWJZk7VOrG0IGpwxB16yQsT+3cfTN0qIgbjN+opkrSx7Dm6OBVbqOX
k45itbmpapNbI0p4QNSPN1HH8dLpCFdvbr4hsWLb6Ju3gZ4SKMd5L8h9NSZzF42duSJr4OCRXgV+
E0uVTop16/GFO9Jj1s3EF6Xm2Xa7ZwUDZs/egSrPJnFWMQUAEBB0OIbJozUJpoX8VO5bl2afT2gt
rMBTiQ1qFS3WWZie9pDGd5NFwJBwP/BJ7u1mfG3ZnR0LXGiDbGLyrUuwjPzXwSEXzXNPbEo59RKD
mXouW/msoQtjuRGO/d4GwXtjtadmiZ/ccnpPHT/fIDleNvSUb0kOsVYNtLQcjxIARTTUi9Gr3ZzG
5za2b/rKuFnsOiSciXHNbGX0aGs/Pybgp1auqVMlBMpDdySWS4e5uwY9U0JVLpNIqn1i9HJXq4ze
Yo9lqp0eZWtcEE+FkM7rLvySaYkgTruaHYTpaY1avSos8M3j3scMhf20J6R8zvx96kXNJhGM3eUQ
Tlu3JwTRJD127c3WoSEuL/S9XRb3t1L0J8HBtTaMoN43ToGFz9LgzfRokVZCriX2exI7mA6L5pgb
6BEai74fYptwPZbDJXUTyLsF+FbXvCVGcy8H93ZU4qgSb1pLK9k7Ccr/zjkE5kTg1SIfO6ijIldf
2rL7kMKCHrUAaCMcwFkNdRARVLg843KuNor8vdCrnoy+Z+rejo8G8bm437kdLJlRb+0hPc+GNXN2
gkIwTYR+RIWjTamunTk4pQ5XmQ7wwsovR65Vw7id4HSeuMERaZM0/oZSxCJXJjhA4yCdw26m1y7k
qiraKsSe2WpsWvLUpxtOz0e7g5TnB7G35VnbONj21n7ndfui7QoEAE11mEwrXNuluIRdf40ecNnk
SWxvFgo9bCDRdi7qhRs2MeTaZzsbEx5XGynDpJYjweuv6aR9yrY4O/aFMRMhrFVzqrkvvXZrz1Oy
gUW39Z3yC8qkT2HCQas857NZxEvQBldizG6qeT5bmLBWbmtEWzlHRC7m9X3Ut6+Zgw8mno9+uVw4
PeZzME6IeSYCUP1WZ7bMn1bbfFUGsLCyu8sq45ozjMTMotsg67y2g4HcN+DBK7cYrVWihZp9EA0Q
PbrPShP+s2m0NoQZvMZ185X5Md3z0kiJ00GYNI2+xPsIJb51DR8yl/PMrltjNsblMGTyvTN9gHkS
vzsb8mVrNNNetZBpo2W46EIIc1aj7mU0vSaxC7HPSbFc1y1BK4qWdevUB8lcEAgFiIVoOndu3UP0
K7bZhJWyTmNrWxRuw0NX8kj48ho7d7Itp5AcZbtYO304rT1DncPQOZVVcA5C52BPVCmyIK6xnzNo
GBA3cEDtVOdnzwxVY9DJw5UhPAtIhn6w3eSJ5kSHjGJMd2yr6ICt6G0qSrmChbIbxuKCDf1+dsrh
UAOF3HAA3FXEfK9ims8DYJx9JEheGCjPV64sH0KfrNMQPXFaZ1dtNNzFLnJmC4NNGKNK8srG3EIR
5meH4ezKxD8sRf9GTCig5qoJVwjLorVMapCui/FJR5TzImrivR/QeJjLN3B2XPUzGPVoHgmXnhSk
k3ApbkQdAJovASH5ebjufDIO8nmSK7r3VLL48jYlezZDb0EtKZgndOVbH8RPZcVCGsNiN3eKEoev
fMVx16xH2yYWdhJqx8Sfz3SI5dG2RwRMDmahiBBtRl0Zn9LwGM3YNzkT113il3wwhNK6nqvg2sws
N99LN8TssWIzLRwzlnGTOvCtyQ5AruaNayXGcWWk8tHF9KRDMtzSJV60+phM/rnWSZ6lJB1rbAyW
Xl9cMRyobzx3QRorYD55he7cHLusaghPtGAf+KJ8ZkSWHdulfrQtHvyssJ+M2TlhSPg21tkuCJNH
DntBjEVL8eEHxzZWJy+uH4IlPdgGAhiPQQzJgQgAZmc8hKR1ePQnV+XgMPNpdLPG897xrRsbKIAk
1NMlgQrt35swkreuGzmYWaZiW1U5CIqsD4+imV+lwWLoosHaMRp6mAoPH1toXICeewWHv1EpEvIp
qfZlXfLzXnVLKWWuykAoIo5gTCaTwwgmfnEEMQZJLW+R230pHbkPq2w6LMr+TMToscea/cqCK7n1
pyLaSS9DbCRRJ0LgYPkliJ/MeA6AO5svEsVx4KSQTSu+2Ibckk0EaGeTkCPNbT15BXN0ncZjtO7w
/6/rAQz0AA3S6Zr9vAAj7W2tJhLpIVH0gWKfkZnoYIjWli4ckgZuauB/i5RB4e+rZjfQrV2X+TBs
SqAjZbroXVU+5bjvVkpBDc1r4yFqxscmQCpXxMG6HLOrvgXDo3okXTSBa7rd0bmTxI4Q4HbsFfTL
XASPDjhMBVmUWAEImTlwAyzGPE82+MxJGdnGAqhpcHPigYSxOQLbZFx5O1mc55rCKcBx1pK4LuIX
P0YcmUYlP6UwHgwbgqenWZ5pkH56LQZIK7PeB3CfASc5jQb3vQUEWmsiaAEalPKt2ASaFjrJ9Enl
iO7rCYW034OeMnJ4128C0CgXA8LkHEIlzD65qNzGXFd9ktxYcXkMNanUB1mqDBdb3Zg8mI1frCqw
ph4T75UF6NSBjjBpU5OMFoyaVVlsa81Fnd1erXLNSq01NdXX/NQSkKoPUNX3UcSkmrHKc/dJClm+
Ys2QuJjaOwGQtRp4dKPGvMs0q5W1cG3LuNsWLv32Pq3OUpNdXVS2XC+hvdZNcY1joqA0oy/jd++J
JsOaIGJrzYrNe/G4AOuZ5uzBcqDJjmBlS0+8DQOTc38scK5r9mwJhLYCRltoKq2Y8YAHmlTbyeQj
4G7MkBUPBjDbJQc9oem2JKIcLXC3cULDFQJupVG4Lbc8L2XrI6OItNBg9PbMRvglYegCRPokIxMR
aDm92Dl3Po3cjWHv9l5xDGHxRmnxGsLmTbqe+WVN+CXQXmDgJKwXnJQ22jzN9YXvO7lEcoQQfyfI
v5UTHANIwGBYbjtNBtaI4NmOthHM4LgZrhoYwj3s1AwDhnXRJnjya6VZw1mxyOf5O4G4NtyBP3C7
agBbIde9WxkX/51pCMQnQttE/7oGvc36/LX9zxJU/9S/SlAA1+T2oo8xqSt/LkHNX5xA292pg74L
6/4104CK7fBX3HE81/6Npf27rC74hdkI8xH3V18XOr1/MHi0v08Wf5ppOJ6ep/Bb+PTRmU3/XIU6
kSoKO5yxRhOfkh7QUGCC9uv0OoFT6+jxYLQ8hYzurbrL9iNkFAMx9SrX9RtxfkGYIQlNJ8wpFU2r
siF6oGTmLy77kJZMPoHmajdLf4Ap9lIqUM9qF/nqZCYB7X+a62uQREwxTURqaStHboDLt0zP4cgH
A7sc+i+ew2L3baPbOWP3spQoRS1OEdsdbuOxs7c1Igb+XlwuA0Qrqvprh9nNqveyL4WB8TlvxEdc
tZ/jYn3zjYoAoh4EcGNN59yfxnU6OS8wjJ6aBV0BsNhNgkiSYPXgppDzfGk46b00aSZNBXKHKUw2
pDXxH4btpxv2OIQWtDeDuTEtZCZ0ybSbHPdsHjX1Conxu0ifXZxfrdR4uHVMYXCQSRDBxeuaDQC6
2Vm7qZjyFc1vovwqKv9j09pd8GrG9Pe38dTk4JYG5IdTkR6QmtRb9EWcus5UbUUIYwZj4bRtLaYh
Av360bYGNnvJ9gCrbOzuQJigKFqy5m4A27pHTVNTKJBxaOmSs224mEc1XeO8SK1VXsvncmms1dgT
H+00jg89iKlN10fuimT6fBsGIeY/b5zv0JA6XPwTsUlQsUelLC+CjKoCiH98Hboi2YxB315EiuNr
akgOKWhMt5vawvRmRHa4xwXwaQWlv4e3x3maElRvSuNtIJodCE5Qb8lOonFH2C+sK6M8IED9CIyS
+AE6jNuiYqk2gXMkioSutZtkt75N9qjZFswGjDneBmbh7J3MVoRht+6eeLmPfDKDPSldNG0bI7ul
laAu+OSWVRJCCfFLtN/WHItDiBSSL8wQqwLn2co2u7TZMFNJWU5GgYS7AD3CwIr6hfTDzjeay9Er
x0s14ssPIrgiFTT8fUXA2pYvjxZM6xLj4SEvnaNPMpzsvQ6sA6a35NgSggo6EiPON5Ez84vCnAIi
5yKm8oZLM1XBlvG/SYshLCRqoT5745lTFw0eosO4pEW3jRIfrspk+xgVBiIcPzNUbAffNK270kTn
BlW3vaRXI5pLu4K7KKaHzDAVs7MMNb8dpJB56i+zATtdLCEMdwQApIAiWxvaF0PVT1lZIPchamUb
5czfh7wsV4ngiPfm5ItZlLdJ3cZfZ2x7KytS0dXc+zinoMEDDbujavQpYjKYC4VXH4NefkTZ8LUX
4W5UfrSeAuNzTDqdjRa/2EZykTnZ8yQ5ZIlxkmv8BHoTCa75KI59CmeC5xQXBSG5uf8A5Oi2NqOL
il4vIMbyBtbfO9rYpyEzENk3E2dn4x/9pjmUS3tul+ARFWq4FR1hmHUPvjyZY9Su8by3rYXYgIJr
gZ8XlyN4msaP7hVKM6JtULz1HNWXrljgytC1QGd6iMvoIvXCk2+P18Zk44yjqciTwlCHBp+5QtBU
wPoL4rfEL4qvMu2Sg7KHGHB9b6OHCpwLfInkn8tSRwnkb0ELeycX0OelTT99NM6ybXWSVhpfqKLn
US5VtU3n0ddpOwAkjE7uqok9KSxHdZejdVkhwUD7rB+eRXD7aPSLdlo7kjBO3tPOiO8zBoEb32oH
tFRNj/FHqpXhTsG+csx5uySRz6NNZ0WE3ryfqNS3IR0tZBsAGYIlgcfXuJ/trBZKruVIZNhJFLjy
7OTK7ad8a4/CYgJKPpotqnBHpnm8izxX7HGhmhswXeXBkpMLk8/Fr5Qt65BG3t6yJ7b6hN82ynlq
rZECkwJLcQnV5MWKXUpojchY8E7dZnC1pk0xDzDl3khIbE5ydHM1Hg8sSKSjsU31q/9edb5fday/
VVhdl9/K9/+86egf+v2mQ7CoFjDpewSyDsK0flBvcNMBu2uD7EXcp8VSv6s36LejieOu48LtxUeA
LO+3iw5/g2QD64CNN83XvoN/ctEheOv//azdwKCAFyFgw+PfghX+8z2nLmuGO1ES3dZ94hJpkY4M
f1zvZHIaYYFThhYSpVU5koQMVF1gSom5eZCFTSdz54vc7M6jNFXwOcLN4wyww9cqzROxBS+V4YRH
RBFemFFCGUx/xVC3TlqQtstIOtIAnt6aevyjLhXLmtiMkDOQeT0F1TDTg1j3HdsGscNzD0c2aeI6
OrB2KSmyxKXtOHmNe6hVQyJkQdTAStZj1mBjzfp61XNl8LZkQdNZSn3JKL/rjQ8X1eR/J02/5duz
6v76lk/aLqbSjz8ZNWkjzO+rHyY1wnMYDXhxULxrrNO/tEuscQ9pkpBSUlJogdLv2iUJpYExInAF
58e1byM8xIjjoVP0kM5rW80/uORTM/xx8TOltFn7PnUImCxHe2t+kBfmVebQnvHlTW4vww6Fn0OH
xHvxfLUtvf6JweojOM5wHvaMNrdW7d/1nXoMM5LSZpxBa/qrm7qYr+VVoox3e0wfcyO0N6bdJPu5
Kd5k13VY3NSxypODUMwPiCjduSB619GQyDVS7q8Es1dvZlfAssZXucXTFqLeSRjSN/IQquai0DS2
RGPZwLMR8/6yGB2qF7htY1y/zoDcgsh+bQC7TZrwJrtJd6Rhvmn6WwUGrkcdCI0ZMtws/K+4hOLL
ojLDrTlCNxCA5Ehf+Co0Wc4BMRdq1pz0l8MCfG4AQhfQk5iB0gXNPuUqVWtWHfnvj5CoX/zYOIzA
7NoGqp1nVZuA1mYO8c5MBBen+WaChOf0y7rWaDwe7m8lrDyFx2ZVy/EmiEd887F1dHDC190K59Da
ss6qvm68XdWlL2AF6hW/4r7VVL4OPB8XoHbVfSf2aXZf6IDxdKH5DTIoaDVzZwyNK6mJf6Vm/4Vx
vx3L5L7Cooh8Ydk5aLEIdcgONaFPjSYIdlZbraJG7BtNF3TBDBJjfwDPCW9AEwijwv7oNJMQIAPf
PbIbVy1Mmpo3ofmFZMRfRfSqSsCGkwwDrQi6IkfkRHDETQ4CUSaUA+hPrkYVgTf2KJQoBihTJJdM
JDWFZikC3ZjWUvMVs9Rhd9PMxVjTF+F7sNg0kbHLUVN03ittiiPCqG7Xt0xl0PnTd5zvRk9CmTDj
tazt9xnY9tqpk/vCJHs54pszKvsRFMmqJlZmC4TNv6oN85j55TUdzq/YML5ELa252kdrPhKAt0io
lrTIk/XcoFNIk+5IlDzZK3X61MccDAuVs/b13oWtY5NrMx04CcpdQ3D1apkpWFOQWBb2r8TzP/k+
LsuqOjlNtEul2LtmBhE6ylfV4DP/y+xzshRfMzO+7MyRnEUEH0tXXKAauhL03KwcWnQmqqM/+G9J
q45BpFC+4WeWfvvAjAFXmPEYl/IoCg2vcD5KKY+pUCdDFF+LNnuUKRDdbBmvHJt7fl9e9wN+iCqd
7rJ82E8h0E8951zGAyjGo9kQYDo7HCzRhXJExfFjX1bZeDm24lZETrbrl4bs2u55pGdNv3whnrc7
4S+mT794F01g3btxdZnGw8FJZ/rZWQ7FbLBODhh4BWibGu29jWdv5Svr3JbtEwzqy3BKrvvI2URq
vi9EJpi0RU9pRjd5jJ9U6u1hjh9yGftHdFB75icRq6O7trlEr33PviNq8Uha+V1uDCF0+xrSdnMc
AvEsphEgtMiyTWD192PkXvUN/ofFo6orlvyZQxbiLZmv5DEiVgZn7hfXdia/Ln6wH41x2wWQZ+Ph
pcAt0bric2kVNjimRUsbPscCHfjKW4wivyenal5n/phZO7+EpD5PNjM6J1+2jcwuoZZeOUF6nLq+
Wxn48wgBOzlDdhmqeVwlpboeQ4R5cVDoWbm/MprsxhDBvi6Dm6ZA/0bC0S6vhbmF3/clBqg2mc6T
nRp4Y5IznXG5sX33rTInnkbFuHPEiWs8TWI4EWpyI0BrRVIn7szjq2VgLIorBdqTEWrd8V00Jrjo
XgEL8fOvFf2SOSBGvYubQ1om+7Soxk0rzS+eFBc19UEUIdajnmBMA73eeSD5iYS+5S3JvPPiduqq
cOsK83N4X+XFtaFdTiEIfGdxv5qV3HtWCEBjdA/kCzrbsZmsAy0XnmX1kVI2cAvSE1JvvsISau1M
s3J3IoZfWrsNBpmoWlsTfmipxKHNAdON8bkmMn7u1UPYtAemqsCzR/9LAfyE9wyyNnvqCPw8Ts4t
1Bam3swKEzmzrUx71ylPY6ceYrG0G18OByNb9t3C4LyVd0tmMgsP+GiAodF7pjM83w29dU6z0t8K
HIwbvxlTQCgjxBF53Wac99usNaxs2491/MWlq8vmL71Lq0DKkTOV2kW1pKdCTRz7A08nWfexx/C8
4S3Nc3WAwb73VBHc+rnrr/IO4M9igE+xBnrramBONPT520Ad5sgi2XHCQKwF+4TCPVtPOPLdsjuE
4L43U4Y9qByC4QLfOVQiBsZF0x6ZFpGBOpMwYQOpJggAH5ebZU9DqSyS32Wz8SK/2JlR6xmrPJGw
BHJ1NZodwa/I/p4T02OY6S6Nsev90b1riU+9yPylgoqeOQiVB0RkZL4spJeaxtVoNxdDFd8ScrBz
pmTrWTAY6vBe1aSX1eTQeoxXrczHTmrWz4DUk7XOr2xwpK6GdNr3Tgifu+vehqQHW+O/OKF9PYwz
h0y8yXvghyH1ot0+VALLqu9Fr+ysX4TdHMIxOgl3+ggT+xKRHyyYKN6ykAjOMuznanEvvTi/DuPM
XksvR32c7owqJ+qdI5pbt7+RTXhKBODvtLwnlJUCPV+OxGpduVN8AMOgc0yPeTDS9hQpdTBWNzKX
7oIxP3c4BYeSjM+8KB6KbCzWuZFeEl5+FMK4ZtK65iq0t6b62IUBVofoqLz6UlXdE1D7y6wg783m
pLX9XepX75r9nqTqbgq5KcxutV3CaEsYwdqtu488Cq6Moli3LLqJIC8m9+9I4OlVBcWxFPF9oxHT
VrwOnIQ40hw55CTObcqAsyvQvsy6JeGp7YLbjmTNDeNKPbdvd11iHvLeeh58h3G8Oe0A+q9tD55n
yHoENlCzu6fPmQ1ly2TkPjbWNkgpaWgSHA0Sf4MAGYi/3DKIIKC4Mx8I6djZSfVUmlJs7NyKV8YQ
fwubcmAUP/bbLrJvRlfchMr+OolObmPiUp3QoxsWH4NYBLBCw8shXT6q2b3pKpN3PGbdlbRYLKoc
XeThHjiBuTK34Sz9UwnRqXDIpc+ogqJO3JFNfJV1mN4MZe9aRATgdiJz1bSCluosX9wxmc8BO80G
J97VNPn9xoB+MGGFqQz5YllJuKvi+lkMXF+E7HdpO2TrouVd+yFGZ731MHhcDWS7HFQDj8Gt0usK
NRZoeHK5rOayMhW9Nwmyom7yz8GcmNbNdUGkQf45p6RYDPVZxVO1p3F6HD2LvnfXXy10bFaV6zxP
Jg9awjxv00xBtqpn58ZM45t0TNdO4kREOS7tVRXSJIwn+8lCUXsxNuFd0GYvIq6cg37cJRbUFUqu
bJc2g/3iR925qJw7c5ziq4BZom9WR1WJB/Ih6Fi7xD6M/V4J9E95elUrQRCF06yUm3/2fpmxl1uE
ovsPaVdexEiQ00Fyzxx1B7p7ns36PpiwYheVd5OY6ib3Eljuzgy7JPlSZ8GLM9n3PvvwpWujx+hx
Pe6sznkhL+0YtKahlVLFvhj4h43a3JVM+zZV4QyHJMtothYVpyMyAWGfUapYlBFwpp2tn82ORZSs
LY2tZcZATNc/VHy3v85D/sYdqEkJMmBgaXLGBzYerZ8LKCsWAiFUEZ/IkFgVxXXLuCJwzn//Ito+
8u9RjP/bi0jTwYSoyX26ivuhSkvDqUEf0MYnMR+N4lrQHTach258+PuX0brC/3gZjyYNBGZH21h+
fpmQcQFVgODibn2O5aNh/zoM/EtUw5/8+/R5MDgiuuTj+uNn1WLVIvk3z07FyEI7+OHrP/79oUdb
fEJ8UC6DnZ9/f+UhSrHdOj/51B3urfubh/Ivf39Nu/y7z+cP37UjUzMy2EpPUPuRj6XmrvGg0a6m
jyzZ/P1b+ZOXYsgnBYBGcqRIk/r5rWS+EgsWufQkkgNybzguFeYch7kZ+oBfG5d/+bb0r/2Ht/XT
10Lv4sfVJcw4H6DzZafKXuMocKm7ug176jzs/vmb+vH7/8ObKrwkKHv/1xey0bujO4l2nCP6KK7+
l7Wmf+k/vilaeoi8OR0xhoEX+PFN2S4cYQ7e4tQSU5W9Dmgbw/e/fzt/tpx/eIk/LreldbkruaI4
Ff5rEr44xv9hOWsoAU1QAAkEif38FkiLcjvHsIpTwg5o4+CZ/w+bF1ZwIdEz89hI6w+tz8IAU9lJ
szwt3uvo3fTYRET3v+xdf7aSWcS0cR3t39M9rh+/CBxHVTETSnNquPjNa2w2pns3wBmsNoAJ/v4b
+ZPX8kHNAEnTXl76Tz+/VhT6NNnIKDlFuqbextAR5y3C35I71v33l/qvuF4/KX/d8rzNXt8/mj9p
9/NTPzQ8BXs8w+7vTU1Nyv+h4cmO5tDr55ThAOAL/L3hGfximzjgteqdZSK0zf53YQMcPdPkUNJf
rJZK/KMkcLrjrIJ/bw0a+uHBmPIthA2WznH8w4oc5nFwOscbTx3OfjRl6VM5zPd4a7C7BOqUm3Xy
jvWwQARrP+DkStaDbYRnrpSf5HjtaMs6q8U2uPdj7hBFRnnmUYfFTfjWqNSEk+w1VGfFvRNkai+w
Ge3HIbzGuAlyo/LeUJWf5bA8RTx7lDz4wqwKzVYZ5YfUqy7sqs35FzF72UGxWzLrzGuBLUNe14w9
IrB+BqDl05gKsTXDAH3kNKSNkapvSetfO9zyhDOdItUeSs8k+Y1i1YqE2CHyIIDMGbT2rEQXYUFz
s5iK5Ro3p+DBLvXaZghyxDKB9JHUDZN58y7oAHKkdCO2/VzZWzsNIfxmPMB2HhzCynlAMU/KSrD5
H/bOYzlyY926r3Lin0MBkwASg39SKMsii95OEGSThPceT39Xsk9Lal1JNzTX4ESckEQWy2V+Zu+1
e8va9FWrs0C3Y5x68wFeoAAnxMaQ6+zB9t7zkp2jOV20bX7mDt1Tr0NgqpJ2onjED9PPEHydAeOU
Pc0fZIQcBsPduhYxqJ4ePYQGCigcAMxXaDoolEn+W/aJ6V6OsXtyReiHZfNQavYbA9+jW6Z0VAsI
etevW+PQB+m1OTOcC23nRvIKBTFGSK3E95Nlp0Z4N06sv6XToq8m3TNWrLLUkHO8z03xnFBSmBXC
URpxsa16o115k3s0SJvFslr4zqI/xARRs/nFe2cF99XUnJjJwbUDH9dmGS7f6GUatLvKYmgTTTed
52x1R3vqteRbxqG1sjEm+U0VuqtFjRXMtv50UWnrPeuoWngXvE3nI4LNGiZJID4ZhxCKzNMZ+2Vb
uWWLPlER24gqV4pYPSQiPAFB1RTli1U4qM/aGYTq9Cr6kc8Xm/8VwegMLbry3Biy94BPpNdYpNeZ
5Y6EybPemfel070TeUbeVGTd2W24C2PsDEtQXxn6iKCTqecaOhcSBW1O1lrUYwqzJLeIlz4kHS/S
UmgIcyO4gCI3bzqn2nhVTipbjrUeOTyy/XAMT2ZfPkwtvLqDxXfuOUd5WyqbXhTSbeO9vC/rObqe
x8Y7BCkjRnTu004MjFL0Hvl0XxvJZlY6lFirPpnMdx6DirorroMoSOZNhypxuR+IPUOTPpBuha8W
KcotKeWMlmkBH2K8Bxth9LcAidAyzAJRj7DX3si4XSL2cwtvh1a/Bfws5ZrEiOyMJsrd5EOgZhzW
cznYyWZZ+LplER9pzKwAWibSGbnWfS0malB6061kG0/UZXQ5Rcu7SXhsXIdyHcf1VoeG2ae5sVkI
09wUjozWqQxpkNzTJIBfI8xYdPkY2wUiKdCIbCy37FYOSF+JCsHoPJVX2DS2BGfhZdRahs3M9LWh
OxNREZ4ydFipcG55dY0dyoJTmzRXU93fe3gaGgs3RxiMb60jHsrSesp1N1uZQQ1VBXtxXS+LGsA+
2FCqV+WCNII502kMBrKM0Cn5aZThKSDSFECcD++MXKLOfqZPrpCGaZvGSj9nRNFV4j5UdYyiXrwR
MURAWu5eOp135vSlvhJ1ZK2semQI0YWarwfGmz4lN9IsznnziCFKlhFCm3uPiHfkG0JAhj3KaEOX
vXYWTaw9Ii9xGhNA3/FlmvnquQvPMzIPLeMypATdTdJzCpjGGWagY9B356mNphjLF8skPIYQazBc
WzE0wt6VJKnlREgFafehgd/Yll6dbDvE6ytsnKci8LQNCmtiTZnRLGHwqs35eZQu99qMh9KYZmIB
6+R2VjjxBq541SLCJmEIhwjM8ZEmgtmuXqFJLu5j6RyjqvoWLy5KY1PPEWk3e60w710VEhogyWId
EmASB38uIZ7rkM/dHOdJ4PSAfbgdqg4O9oi8I8/4rDEOHW3WBaHWnDW6kqjp6GoZFDLNaYOu9V7M
vO3c77kU/1ZEqhT564ro/LVtP/6MMcNP/aiIvgQQDnU2gAgIPz+5DbEVqn/Msugr24gS/DfDITJP
Rgq2LmiWv7bDPyoi7xeXFRW/EWGMgGLxjwyHsI3/WBHZQI0pyOgFaM3FV8X0u/nC0HuTVpXOeDmP
VutuoiFIgIe7hJSFcxyRnhYcuwUo52ZOhiF9MHoD5CBonLg7VEvMfTk4S3rekjHPgHIyO/QSY1WU
SgeF6uObkmspTEETLBsMHwDRw6nZT1+aCe9LPzG3LTrs7ktXEczLgm34u+Ai+lJf1E5oojVvvqQZ
C+E8WDB6HEmb3ESSvUFhm+OwJ29u3fWpscMYgEeGBY+w7zNDixxKiOYACqeCu+aIbl9BZdhP1twn
n6PSxYVfErkwTEgpZ43PxaM0dFogUdMpXZ33JbGDDzZstIyR2qAUeF6ErEjPud9Q1dlvg5L7LUqz
133J9+w6FOgJo09n1AQSSvmZFAiPujzMNy782V2lJWrwiSoQ1vl4jELiDKXBRC6M8atnXQ2lQSkK
daUtNL9khrlSHDZKe9jbRriCiaXvZSMiJGpoFA2lVnSUbrFSCkahtIyZUjXKqvhI3cXeWUrxWEWD
2GGpYwj+pYcMXYKW7T67SpVaksvhkCv9ZF7X40YqTWUorY9IqSztJuVjocRj5APhay6pVShh3iql
z3SWjMG80mxGTfPpjkFAfpzSsuTJAEREqTyzzkQbD8b3zFMaUFOLEsDCrIJDpRBNkYrGSjNqKvWo
rXSkTI7t3ai0pa263cm0ZgeglKdjjwC2UGrUXFpPmdKnhkqp2ijNKgYfJJhKx4qwHRWM0rZS0NTX
4ZfeVSlfXaWBXZhJEsGolLFtaUIM+VLLDuyIifSrNpPh9hyoLX4Ppa81MjLyQBX9N4Lq32NTCV3+
+ti8jT+aP6P+qJ/6cWyinNERpWCCxi1rfx2Av2skge6YBJ/QGGLgpv38rZF02d4jqwGDblm2xy/8
7djkl5iSgZr7dRD/o0bSVH/az40kGhwFt2SuQW+KHO3ncQPp3XlklrF+aUnu8yBfVIbnSxm+6x56
LqrTxinOWe+xKR4983ys+OcN3YpjFJd9XaExCW9ghrwg7fA5M6Zdm0ZPRWPvagWVKORF5bHoad1n
4lcoLFUmspseOxsQWMjwiYDynj6juAOnysfc0zO/ZjO3Zr7/HCTxGr3d0UaeSa3/uiC8MJLlCTtM
7edTdxbZxcabEhdPbbxvewykSbE8GaG7HyMCpUXaXU1u9JxQnyyyPAeV/sRmPV+ltvmpjcVj3fQP
qcFBJXp723jadnGXq9hLXSTY1a7y2NKN0Aq5IrADYnBZucF46GJcQNpMO4j82q21bdNiY59z+VCP
ZDpU7KAPCyc4oavimOhZ6Sejtqf2xPFJe73vQaSXYjqYxkB/6tyMVX8Dg6K5z+z5Naso5p1anoWR
/ohVHiA+aIhKny7Yz9mrMXS1jZ0U+27QEn/q+6MQ7cHxECvXgX02G+8tKtww6O9naeOuEpzuixxf
Up12IautC5YVH5aLYs+zjXtIItxuusCuJaDstDgiGSs44K7nfdLOOynHTYX1EIUKx1uYwR2fwwQF
ITqSoTkhHTSiTQD+egew3J6OXcmtuIhK7w6lRHzVqcvXgN+UECOjN+7G/NL8t1/6f6Ac4yHpwDut
nS+HwPTlFsjNEgh6JiKik+vaxyJ0kfc1IwrMBoVyHWjKf2DRiLJjx5OAEnc9YlJwlFvBS+tPBUNd
zRgZZuVocFXhGNrpjbtUdNOWe9IiTJkdGie0ZPQxWvSUYZEolFdimAYkKLgnPOWjELX9TjrvpzlP
H0vXzKsBy0XoYKNgEnmhKzdG2mK1V/4MujWL+0dNJZR3w0v3ImqeZWp3Wwt4EGNb+Twrb18lnETp
dt9baY4rlqnKsgxTq1BeEV25RrJQO4XP2YAbDjTnlLwLHCY2ThOzYB+eLkenKHZJWV0PFiZr7vj7
SvHTHdwqGa4V5rBss3TnMajyjDDfYCWN8ZGA5+sYx8sstPZ8bJ8L227pELXyqMEbiNf8qmml4zfV
FOPKIeVG0yJAVM3EPENpRpOIxF8VipNG8E9JyVlIy5lIzXE80fiZGIh6rOe0+T6d/vdesf9Wk/lc
Zn8SM6p+5tdbxfjFZpMl1SxakpHFkPjXWwUqCCJgamokLPCKfyvGLVKzmBVycyCVNNR67LdbBVwx
9lFHsmqQ/Ef/jP5hfm3Zfh5PMsMGWcft5aq2gD/i9wPzrhkpFM1kuqy6AGiaJAIhaO46k747MdEn
LVgq7uLByC7NLs9v2z6gWdQN0jSXgABJVtDEPeDTqIV1sghO3XQZjOHZTT6sxRn4/uq0m/Xw5vVj
dVfOarhXZ9OVF4bw3PLC9T1QXXeiHS4avXcRB3jrIY7KS7IWOPLGIrzhliDBATX3JmT+sW4N454M
qmyfoQFgR4+5xe4P1izvQjwU20kkZAai/bjMgLP6dKEvGh3s3lPanMWM72sxlhcR4VnbDmiSr6UF
/ABegsvYkMEWAYCHVLG0L8ORiSWB9di8KqIBMhUSUBVLx/nqQucgZUJUTOCKPj/vyRZIPe15VGED
HakD4NnYwZNDoPdik7qhvgGAe5aSVDCQWMCreVGqCANdhRmUTo/pKo1ebHIOJgdfP6EojyG6v8Yu
AAmoUISAdIROxSRYKjDBKgzXd8Jwn6owBc0hvEHFK0yFc+Y0zFI7/PbkU5LB0Kk0higYcQ/ZyzNv
dOJ7TnVbasFJEOFAgNYeEWzFM7HeA0IeSFcezulmmlXTKenpKE8WeSSM4JaTXfKWdhUCAmIj0tx6
M63mcSFOQgsqxrMR9hOCJhyVOOFWyn4dkkKhjebBpsIGVsbhiGvvEp4A2R+52DsoREuVZlGqXAub
gIsqXK6Z5h8TlXyhqQyMQaVh8PlAqokVUF5aM/Elbzoz8fngIo7ZuFF45J5ZkAsZDSYiG2wD9o4P
rYUQ0Usucm3eft2eAUNP7oLsjODTZuXaeHZMGE2ooZNVNkAwCQCfrkMbitNspxtZGwSja4t509j2
4A8SvrII0281w3PYAPG8YeKMxCPxtgShcVMg1cXJ3QYHbW5rn4vM8Ee+4L7OJ9UKq5usgG43xOIw
Sa9FCZnrd0UUcLYLsTdKkHENk0QQyQ5YlwB7ttAL6DvBxwwZJYbvckht+67pghezKDrfhb/sut5J
tHZ2GFmO4J7udWhazkGjRbt0OxzQ6NU6vzJiZzs14nZIVZJMZ5+jByLoFWGzrwNMbLI+PjPm8giy
DjxgGfMudZ6fWU+tEVxqYwinCsacQNbW1U2c+l7e7NoZRA8Yn7Wss7cosxEfVnzV+ZpUlTvxwqLn
i9qzyR2rQ6q5cp3FhnEJp9xaB70W3SRMIpHIUKf1MjgNNe7wxCMXBtcWPhsV7TPkEOmq6Xo2ABXM
dZWe1fMiV71pBnu97pBatKXYzSEZ9zqo6ENVF0cqMReCam+dtU64nNUJSQqirPVNWVfXjgZya0nn
M00Pn+CCWFdmEk8+p1960GLANVFanWnMF8MpDDZOUj3XbhJ+tkWusIu9uHaT5GNJlo6m3gOnvfp3
wffdzkOb8td9mYL6V2XLqvp7yOXh/f//v/96Ifi5H3coAy0LYAnRHw7raUfB+3+9Q/VfLCw+8ov3
z335W2P2lQiCVhNYKmgg+/cbPlc5eoAvY3dm360grv/A1cBY+Y+NGZIZskfoywjBZOD2h8aMAJrU
dMniu8z1RQTcLZ39Mhl6JImtL4rwqoThd7b0tfPiRALfracVNSGtkzY+N4vbPniRKG89L7YXP7H6
keT5wu0eW6s3IBuCRyXRhnQ/EWsPFK0JmVIL0jjTTFGkOrAOuBxD47IfnLswm1/HcHk1I7JC4unG
aSU+WfTfZpbHEOddaESps5mGYN0zrI0ceAegnFhkNUMLpGR+TeuGHKgRM29vhu2qxbiKwlpmXBty
yzdzWmmFi4Oy9w4ibNg7jsG+yp0bMdg3ObrcdWq573MwnRbJcewNgPyL+rayzJdIJuhCsQlviyLp
V0zYGOHHXu6XQ4mIXtg3ieOeD7IlSjpFtF5k51BHjn2UArIMTLkWrWuwhYPgko+V9KslvSE4jOt8
qS6sZihZ/gg0dVIdpfAZVqNgct+Qq+J31oSzEyTNecFsZ3FJBHTqwW8NvVr3evOxtM28IcUSy1/b
77M2YYua7w34j5WLbAwvqi8E6xP2u1vgeqAj0NjzRxkcFoO093HB/xPD1HMylA9FlL4D+ruWdEay
yr4ZaXTnlIhXuy4R54EdHOJKu44rUGGD7UZ+wJYS7IdzHiqHS5mJm8hx7lg3AoCw3XenLI7LbN1U
s0SgrkuYioXrIuQvE9KppmOh8k31cViJsthlMQgSU/k/OnrWvi4eEqfN1g497RYW5Map0NzZDlit
kfIj0uVW1O5w6hVm1p1bkrobcehSJ39ABzzh1+yvlwH4v21F8NII6aw1HWLu3N83c/IWDKipnYiY
JyYWW7eRj8TmPLn47U0SHLI8RKuk/gx9uKEL39bBcplBYcGtDJ0GislcnsTQn2deeoWD4SV2IJsW
6YLOaULqiXC9g6U9H4G7Tag4kvPSJJ+MJM1VpMlHzaX/6ewx9o1kCnytibeoEU92lV9aXnMUnnM1
tMg/6H/pK12x1az6RWjaOrJNuF8ZXs7SPasG53JWphjCpY6aF2zDoQZeGbR3MnHfHG26aJz+wwzy
OzYYByKBzpMhJWErch2/yzx8wiXvA2O698wY+YotzCjllPVoBZ1LnjwV5Bg9saFOVoaeX5qBcVWT
M1B76RvgO1/CvQHDkwIRsfKrri8l0Mjo6OZd8RipQFNyBswVporsqGV9RUk51xQqjuO7ef7K0BND
/JxdG7gCMq1E2mSZJNl4QM3kcp4V3UVvpJRegAWc/LWz2B3ZPOhIUCRtcxZ4B/JYL9tM3wkLsFSF
Fpne86K3QZ5xOwNMSlGIminrVArb2Y7OPKwLx9hoimsCpgNueJSkHBDFQLyZtaw9Jkh7ttSPfV4Q
3F7mKAXqOGm3daZ3O1bCGG+KEpfUJMyraRZcxrFxivhi+bzn9mWB1pmdKdB5p3Onx6Wm/G8MIzsm
ZLLvOl6CzZhp2d5AD8xmjMwRRlNBqK8Gp4v2nYZjm90xDz1XurHVkuC/Idj/trn637a5uOG75vU/
ftl2f3JVq5/9cVWbtLuWMCBW/hpd+etVrSCYWN+F7jnfdTW/DlHlL0jnmGnapknQ5JdQ58cQFaq6
IW2byC22Rl/RB//grv6ebfFzu4sFEk0rakfGuARs/tzuerkLWgcZ9SWkLq5Jv2HedcbaQpwVS5ng
nnLye9DF+Gsm7VwWJqednTP+S1ByF2xCjC65m8LumMrpdoB1OweA6iq+q0xf5EL2y3Lmxd3DmM8n
N7cONkxfKwsY+sn2ku3smVOBR5ry+hAv5JvnKMjHICTxz/WmXWNZn5YMwY1/hUjF6exXMSrnRqnm
FwkXK0mAooGZWHlt9Dw7tFptJuaN1835Wm+qO+HACxS9ZjJ/Cn0L+7A/I5wQgJH9pggeM89Yd6Yz
+w15gXY8vjmc6UlQA8Y13G914sb+4MRPTj0RIOhCQyMruMcpgm7FfHLYIkm3wiI/WsgCGuzAbY57
foD0Vsp9OxF8NjNfWsXD9DaXwVveTUAcMRTaafeMjj72c5Hu0nQ6SGgvXEgqYHOg9pdh9R7qKCAm
o3iq6J1XVjSoVgEQY2AuJ3DQr3FlB8fejl2/sRlywqneaIU0bszWbdaiDPBmMUaBhQE6YBzTo2HX
w7P0hoYo0LJho54MNFVurJT95ZYIUnJI7WnZyCgCN+gtJRVP0V7g2JzWaT5gtS7jah0AePOhcDFJ
Z1q+0eKy2cx6jGZCb+NjrJcZ2LqxuzXtYXkYyYjAz5oFjBsz/WJ2cndLg5w+lw1QpJg9whP+zvym
bYz6KsIccZBAIc5rDwvrMGflmekw50ZrLZJzNmxVsNHKCesYoqzVkpPVM0k6wfVoazXwbZ3oIjKf
Irqqe3grYtgF0nReNEaTn0Jm/SZXQWljR5dKR+/PuQmOPiFObVgoRtomPhqtedHNC6/6SKsfnrck
sektkWxa3Z8aFdIWqLg2lwkq5m4i3FwV5say6iQ64t3qXMdsqALfcJYFAdyGVIXBFSoWDsAxcHOR
guRToXFuTnxc+ZUkZ8a3eG9UtJyTXpQqbi5VwXNeLuXBAZHF5U4snSYJqMMo8TmpyLoc9uUkCbH7
t+f66rmUBvKve671R/afEx/5j//ddKkf/PUkt37hS+/pDgKCryjG3zVd4heTDw8GbtbTKsT4165L
mOzQ4JwgFWB+rfznvw4u4SiwmGIoQb9lqXbtH+UTc8X8tAwjHhkBAcp7Qtto4vQ/nONdAG8xWwrz
qiinvZ7G526ItWyYN797Za6+Xwy/91uYXzyG3y4MnglxOOrKwlNvqXHrHx5IC/XUllE6Xtm2kx66
UJdiYy895DSoh6UZgk4fXW2NF/fSm/vzOq3Q0TS9X7WgAsc86TZpY6THoQFOzndI960ZvRm8O+hq
Y/M0thVzUBlRtqng3qjNbise0Der7ArZDhHwLk51WZuY/rSBMx3uySpf5LFmyuoleuMXJH0jR3L2
0CyLbeAMW7QXoOsXzvqW3PvKFY+adLF/EZDA03zCiVeyQbFvEYrcaPkEghlbU6yj2xljJlmgIhtv
QHGVh5whxn0QygyBHzRDM2LD3g/dta0t21H0j55sPkgVfwnzmVY2h6fcE+aRzfGV3QRH/G3xFnXs
3vECZkYRqW9W09yXTriPJfLJjA0F5IE3DPfpdsjpxpxhhkpRThVQHVoSaAFcE93yYuS5Or2TSyE5
mGdIQfir17WTvvSucd+04QWTxH5VGghr635HNbEPnZD+gPOWP9TCw9gVwo9Mm/yGKvPzrpZIsV68
Lt/okOZ7wE+rthfg+sj/IHzb5f3Dgur2n3ImmVN37Au0EzZ+55yUB8KHDXc+mSMw17kVBKQZdB9G
dlUTYbS1rHG35OIC1xicX0PsvIHXNhrZ8GkOVM2q9l4oQfbenN7AMprX1tI+0DsvcB8p+a0uu23H
/mDY6bBuLP2bnoETCMf5IYtjezdZy6XJqHfVRsmwapbm3cjMdxMHMAQxY09o2wFBg+Gn47jLU/s6
T+UaxYdz7loLwtGs+LYk1VPktpGfA3N1hhTtWe2m+7HH7Irk1LSCrSxYTm34iOGZEMC9jSmqXwsM
w4zQpIbl2HYmSKr6hOManHSD+FeMuMl0d9waciTKtG6msyxjd2XOZJEExqER1vuoewecxNthKRva
hrQaHlLbQiYZjoZO4a+As/1kxNjfzYOFbcwY0lMHGXSW9WvgxDdGqn2wZKEP9drrkk/j3WwO1GNt
B7kJwuJIb0bqRr4pYODKJivX+Jj4vWkBvnaIVcbp+OwkcIunsLoIYz3ACjJhDYLWLTCwJel66Nr9
OHZPS8CEeIJzMiT6VdKUF6nDV9Yq0qvMtMlk1g5LFkFtDKMIFeWcbxNMhc5IUEcyMumYeuMGLPlu
AiadLuHICph8Oqd6Iokjv3MPkWiOaaftAT3AcNJfFhsoOCKSFifBS8a0dmz3c9+fVaVKT2GtBxTC
ZNS8pruD27BYm5GWbTCtbWNEEGmXathZbtJtdYM0h3AQL2oagiF0XAcagxoxVrseIcBcMnQqkxa1
uXjoOp2tv5aI+k6VR6FEzb0vGYtn/9cxqkZgP5+iXBdqcqcYIrBqmeD9fsuE3soSeCPnq5Gok5XY
BWfTbXnBVnmlvRaPYKQOlo9d+0i0Xr9Odtbh74/xnxVn6hDn4VXkHVsi08Yn8PPDN0FvD5rTL1eD
+1oFB0+HvTm9aGX+fYr7l96mP3scE8K1q2wuQv+j5czruLPiaViujPg8ooZGiO2Fh7Fv/4/H+fn2
+/58FHbRsLEuuEIZG37/cta1YOdlRPqVYx8bBycV/GPx+Pev2Rdx8Y/v2e+fzB8epEfE35qpetG2
7UPkp5thr79LZlqr8iLnM7a6aTYM47bm/v7EhH91Gi7i7UO7CTbXydm42lPcn3dr/sN1ueV/m4e/
//vMPxjJvt5UYer4Ewlm9eA2/fwiZD0C6GLWjSs0YydcCBv9wniEosd0yyc2dHX2bOwm/1Rvx70N
cvdIVsE1lNntuMr8rz/l36mAKt/+upC8fS3+syLx8LV5j4s/WYOrn/5RTRriF6RVuHE8aRMlrzSh
P+YCRCJKncW0YAeOzlRnQ/5DXGXzb9hLE8vLd/fn3EPrF4lnVFI+YONxYRP9kxk+Bjc+LL992KlX
2akj4WLhzvkEy/4PZZ432VpFcRSdtFSaBM8izZSMXQ9UJPULTSTneld3HKTOjBDDD9PFBjA51m3C
uCBNQNE5A0LtxhTroiZgU6d/1odriBDl/NpTQsNeDgkT7EkkyIbERLVuSUnpYX1tJ1PXqBdc+h5X
6a6rtCy6lR3U5cYm7nVVaDCdVku4JHd5mQ33ogsT089Sfb6NDEkdCus52lYV+QNll3FxROhMMrt3
Hwpj0MChoAJ6qHJPTivLrpbZFwULdF9jzIBXuZJXVjpUWDbq5JnC1N7jEOzQew5ZcOnqRkj0h0zi
i6WF/eznwUJMgYydgC23eShCPfeh7fXYhN385DrFcJOTZ0gMTWoKeCnFgI4KnHKf1ZLdZY4L3uu8
clkNTe8grJWx7fqJkbk3mB3KxV+6PN6T4rN8y03Ngs0iyOj2Zx0MB9N3ttqVwnj00G7kYHU7u+EN
adfxpA3PkEMMA8QmYk2RGH1UbACc4lrawLdZhgrJlIXWF7w7NMrNXDXhztW75bptBnInvaK99ki9
JJyN+M5V1orojkXDybNY9bPC4dW8KrRw0Ddhq5Re4VfIZWSqwEupsi/TrDXvJq+nxlgxVklQI+tx
ttetomN+IqsgOdRGk0xnuRuL8cMZZfhBy+HuGKkG0F4iBMyxB7Og1QgdyzXMvqmM26fIMqrmsiYI
A9tP9+/a8fv6UClm/ubkKtn0vP7v/lf91I8Ti8weDhb0lshB6VZVyfLjxDJpjZGOSYJ7dDrQ328d
5S+IRwU1KME9xPj+LNzR0YHyu1AuErfjWP/kxOKu/+nEogbQoRV6wqSnRgsE1PDn6w88TlalULMu
TQs619aWS8P83+m/NUm/GQSdn54H6V4LCLpLDO8h6BB7B01Ur23bfevy7JagLW/FCHXdUwiybY/f
ek0/tEN9nmpJyJyN2NK4HvB9AJdPLeMFhnq4a82xPSLXPtSqHV3iS6vTDuBALpjSrYyG8VEfQMMa
ZkZqbiv3BYkWy6itXajC3eiUfqktV6nTBz7Y8hvT6p7JLtEYWBbX5LMaOHWB0Udx4xPp3LI9iCHJ
O0cY5lk8v5Dg0q8SO2GGluirpgbDjvQy1+H8QLTazWVpXuiVIJF8ESvdEMfFrk5D0R9lG7xX3niM
GZGZs5Nei4mZaFgEF6NgHBaaqHcae4PYz3ht5nJejfRNLAYfYlN/R7MOB7eyavqn7H5ytXfqSZ5I
5u1V/vWchbRIPIdATy+oxF/bpGy3Q8Cua0QvSttZ27uCxV9AG8WGkglzFVy2/fiSO0QVpa55Psl6
14m0XHloolaDNLYS+xtK0cvUhLxhj8u+p0fy58VjpedtcdxcjEO00zvJIlMm10Wuw4AupnPZLugG
JTjIoHqKI/xgg1kj68QiV7dAl9K0e7IX0FrMGlddm3+Wsrlg1BPiJwpPrKKjdQEDZWz7zjc6c98G
9KRtHd6ZWcM6LlLoK1xUo8MuhnP+vQjd2zCYd2Cap01e5mdzaRJ/Zmkfk6iUAHHrJN0j/2xflDZ9
yCBR/JgxMp2kuyraJDv3pvwOKZDBFsyDiOOwGVhDZSb0sW8/URPvGTJC36qJZ+ibEBRHemH09aYq
0U3pKWarQWtvjaHZJXb6LGZj54UcwZW0j20CM60jFYCdaX7dJ9G8rREGiY7gvoVbYo7YiDPjksiS
G+TPkO6SPCCncbZ2ZlgeU1Z1mQcLLfWaa5GOZ0nUJQQHzKfG47UXyqcCdEuTsJS+MbBoHqOiU3cW
00zWi4V7Yyr6MhHKTa5d6+irbyDVovZkF7vtLH1LGIbD3Dn4TEOIQTbToagE7KLX7plbTA+t07x1
KWjNqiyv3RBkT5ReG1V2kKxnfSR9LNK4PC13WMeZzmTE7k6GlQmeXLWpXVcBO5N92U0CUD+hHl7m
IjFgJsJeIV8To7e1nBnNmbmup+kFr9dG9+Z73uhoJRPtMMfaeVFHuyjVDmy20TiRwp4ANdOCPREI
QIKAT0/0A7NY8BF3j3T9rFeJRjZJFBiIu8DflpyTOZL6XWoqCyv2CqRKVc4b8tApaOPUK56TP8Br
izXmJWnhruecgI7Ye8qTJGVQHZ0PlGZrAiu87ZQTGwZneu/VOlm33rd2FHwJZnhCLl0kKZ9WNV8I
XMVjY1Hsm2CmzXHkvbVXgYZosW2+wWK7TCa5bhNxR7BNvvLm5nxJXWclUKkLkjHJ0WNviZdla6T6
rd0HHzVr9JU35IeO6sFv3WGPKnFiUE6xxOY20JcBUx3YyBh8loyhkIv+YnSLIzlpOPFIbhShfEaw
uOocue9RVTSzvvPc/ip2hkfdrA6BmLaUkO4mTTLOv6lAjOmUN1bvdX68NJDs0HyHyV5tf6p4OAXO
codOcVWb3XVg9meEa66cGpn+hJR7Wcyt4zQbC+Yg2PRh3TJo4hS2tp7dHfViURMepOWzBtRbf8uC
1lx1Zv9ixUg9RswRrLrDK7qrVRWG18Yiz4HCMoGDCYaabjzTHYYVJTy8tApR/Guxd7BCuwc4Pl0h
Udym2XwFoPcTjPW2yCswbt2mbaS2xXxa+KPWXc5dddW58n5S2WC5bTNJy21vMyVm9pSSA7AOq+Ez
afsj2KiHrC8YFZTnkQcGrm/im34x12bcfBIlt+l7ozpF07Stk+U+NUy1QMYOjNC0LezrRmP5Fure
s+Y0j1M9Hcc8qhj15S7rMeTlRnQ0WZVFkxJ8hkfRdRzjYiaaxEsYvgaQjlAqtukDDO8xXRtawV55
6UZfQjTK9Phg2pR61ZizRimjdzFYtJ5DSYoSEgiPuE+jya0N5UJIbJiBEG9BLmDhte6AAXhdeoEL
jeNynjDrl0QVJeZViXUZZu8IzgljcNR+w5my7nTvjKX3ZetMh8Xk/GpcHPqFXdxPs/ZAVOUduxdE
RYW1rhDbreQ8Xg4pyD2xyNv/Ye88muu20i36X94cKoSDNL3AjbyBvIzSBEVKFHLO+PVvHbplS352
v/LcXR50WSbFAJzzhbX3XgqmpVmf9HdNR5ysmdlEmEp/PAsR6uTlGs5MNz/VU381OP91FCJtDzDF
sSWKCWulgnj+Wp7QK2iEnRnuRbvPVy/mZritvWWVe+7rw7U9Ydm0Lr1uFx9RXPnRrtxEBzPcJad/
Uyn/57cCV0Jwf1/gbrP34i9UovKDfq9vNUpVFuCCItL9k0pU/4SNjeAflixgd/TxPzpyl46cwpON
ELZKrHf+2O8YQHq4bvNnBEmqdPj/qL5FU/RLffsRS2mDpvM5yRuAYJXU3U8qUZKosIvoHfei50g6
ElNbKjbkZVjcGUoR6WszytvgiwvxcseGHfY5H+LCWwb3SK7FsSnc1Kvy9C2ty4OMCR/0jjxEIUpC
dgycCT2s7vYFRvnrfnDvUmf8Tqpq7EExvbq9vlXITwvbGCC43qphtXUK4zxVyk6JszezmaBvk/IY
JuNdiucqtErjh9gH8z5gZJtUK7IevdgtlVWczFv2WGd9UX1KyZ5dgYmdqTrvZkoWOnvtLcnx0q8H
c9849ksl0CQ149eqmE7ESma4LvC9fXZxYegCC1mKWb43s4NRHPVvwuIfJqysLxh9bxgj42k4aLu6
K7GrywZv7MjiSw2lWVc5AUC4F/HdQjFwHSzPOci9s2g5bAOnf5OKBtWPwRxR30IhhpsmxRQcqNpG
M6O9Oinz6paNRC2wG9HK/nM+BV8AEu6jorxMs81OKw/MTd7qFQVMsccjA9FqjNeGxkTeV8HxVmXu
lFsEoQb4YZ57lusycp/vchNJZIgANdKTb3OORkvleiLpLXhyMqbYRji/FnrPNETTvne6ctCGfs9i
+4g/OT6XLuadQ0tGmjv245H0ORRFgF6ryeq41rP3XCnGF36fSNm+LLl1EnErDYlvszrhIgvuxzbp
UM2nSeszuK6jIyZI/bIu4hSZVZVlJTUaeli3Pk8AefusJc0K2+JoGwPKT4hTa/ek20p0sNMS42pc
oPf8XCp1LZDGbXEJcu+DNOhhqmcZNVmXi7UbsLvdVo0pMs5lmioAbAh+wtT1o51lPdHclAnKkqov
H6fAv5NKqav5++PwoYccyIv3/9vxy4/7cSKCGWOCzjzd0vFzw53/p45f/WQxZWarrcsthsGs+ceJ
6HxCPcNmWyPJg/9E56L7g12y+Be247oaz7IcIfwDdsmSKqKfZpQfHb/KgWhpnLIczn/2ttIQfufs
LPLLAolnQOSJAb30BKO3sJvbDBLbIy3pJCTIB6W1U3ttG0P4RT0FPKZxLuRfgbdhDwnI4vk1hQwM
2swjt+U0LdoxhBxcIgvZoIQJIzv83EIXDhIztOANmWlYnvhAECWMuGjExeYSUMzSqCWoBGixhF7s
f8MY81vW5hTN7LxxPla8BubRUsyNAQMZTeWFp5/CyU1eRolJlvCSDumY+A0h6kwlTNlbJfQreKU5
RbiMSOQylvClOTvHDhrTgMokfvSd7uPUCldWsQ8jtReequEWVc2NZS7Sita6mJCemUQ+3ch8NGBA
GZN+GRHqtxIObTTwqtF1btl53pBWQ1h6emaJt6kULfB6iZgmdqYw21CeET+w/lgqX4VHjRrcF6Va
ERlhty9MXIJyia9Cg+XAh+6Xyc5vTQhXgWHluarvkEZucqYCs61dcOHb9MZ05RogDxFtvkHBaGhg
TJnyMojgmXn5BpwL1ktitkaWv8Vwt5UEcHOJ4mpTcp4lnFtD6apTQMkpwd1a7K0PkpcI8RKLE/Be
mIVNIIHfXKK/cz/cR+h0+f/xhnDIzO/ghHu+jADrFS+VCDESqa0Zs7VuHI1k9PmmlrhxkuCMhAlo
5pcSRp6hkmOnvBnH4JuoK2ZFklsuratCSeEpnXV0JdrcS8g5krhz3ERXhTGImXTiiGEwy+U6eXCC
4iuCZr8I8rscdppN51PoclOySQSw5pvaVRK1put0iJaZQo8gsY0hgezYZoiEzc6mint/gdk2l5S2
fNilOoEvRT/Na73t38ELK19I5Fu1qxccAQhkqrJjhObIqyUgHpa4vRQTBkJGy4kOLaGt2OnS8Wpu
dVrm5rGGNg+qHvpOhZkvY+ZU8YQ3T94jtcrg1NVyyo4a5HoPwR5DspvCvBYSbbcl5K5o4O65BN8L
icC7M6GAJVR8BR3vQMkb5hj6s7mc1T7AG0nRfAOi3q2caw9hPxoFd24Q7O1UAb7noV+RDbaZJJjf
SEQfDAVNkcT2EwnwK8v8GkIVeKaE+zN+oqsO3h8psq/C/2sfQgApCXDRBsSLnq9BEUBnMeAi6xgB
gQJw10lBwTQ8pJnGUt65TaXiAHUBUapShWAgR5gdgqY7BArSsiaaB+tAfzeuUH8RjWXieF4o3NxB
Ph/QKa3LCukU2xUDKwbxrk/tKVOVE4K7Yh07c7FW5+W1RJE2V53pYdw58+tij0GoiL2aG1JK9Xq8
z+2x9Oq207aBHrrACuTQjgNWZ2PPE8i//65n6H1nU1J4AnLRyZRr3avvbc4jIaw8JprRfqya+txm
0GxsWd+x2LnYyrhpE/yScNEW4ANYgFtasonUpTkGmrqd4KF9lheAN/gYMqbgaeq74rPIs3JDnHDh
h7HjesPQCKDtcBcIa9rBo7zWVkwOHUcjAaSb2ugVL4rECQQP7hq7I1oox59j435M8hHLzfK2btVt
0ogHrKI3RqndY9yreyV6ipVa2q/IJg+VFR10vjl/jFkLmWr/iLe65iHCl5FsSNkak4c6bYPPGKV8
brr6GrUi3IWZgn2PBhjIAbcSXX9fOUQNNEB6jOtA62XROtoBlmU5mdkNImRO+TJyLxx027AmPkAX
7cMcjE+p3j03tUNTmfbPwl3UnaaPGhHJOprjNmEc5UQmgRjSPCusseLQDKzNk/vCMrZL1Zd+kGqf
x5QtmZslGxNDMs9xmRAZlbVyG/1psO7G9rAELyNx6ZFxR+w2ZI71RK7oY2zk/GqKbmsVJSZpxMNX
mdZSdlvvGgf9WpvcWyziebXJp98pZKytbGuJ15kd44wgSBxxx2NbZdcBSshmGbeaUPPhziGVETdR
OS+rOOyfUdCR8lp3h7o7D9K23eyhiJiKiBkz0ax0YzJKGlSeTfyszcs2y5rkiAu8tlmU5uTOtrIZ
sFDaGN2UrBaA6VVbOfy2gnw9VuHBlMZyLcZbGCWUoYupdW/oOzGV7w5hPaexgNqFN8lN+zkp83Hb
MCdA2Vkv85m9fwwoxu/ZniklQ6fDBj/wSs6vQ4Cm9UIcSnlRF2XZEegg9oMdnRnpOc5rL+Z5u0yT
znlMK8DlkWzcOtzkpnbSK3PPaXSwAh4dR9ARdDg9KWA7T7FdcUIMFOiiVXbkjp6FaMNdEanvCDLf
gzl848rBMTqa8FojLdixfT1V+db5GltDK/10yr5OUDgrM4y2upowbQoYixah9RJNBELMYNXrscZf
S2tL7AJwABsUOWm2bkJ+2NVbpx40EVzTwN4paErPcWNfjArdR9znsE6Z+siPn1tcy96rKTkMekie
ST3d4ae/TRwJOxt2sSkmlWwPjLAYlzKs0+rxpeiwTZuye1PMvpWZj7lb3841XAoWQwgrrU0TZ7fM
43NCwydYtOrBLsVXDtdbMhoKEDYegdiqr5rSbDjgiAQTILyu1p7pUfFuX5h7Wx2zzyS/2C6NbBpE
xBa46bxuJswqOPczQhIWPO2sdp1PmOhUlgDPKfXXpSWOPYPjskmAXUG0nylyX5qmOk52ZmPmpayh
TaQx2Weuls0wIlathxve3B2iN4wRx+ixWlqYmjg7jRpXbaod46C7CbLy2ay0lzFIZdKd/dzqEwQd
8S1j7BLup2As55rhE9Ru4WlKtl/iQyOaE0ncm2rUCbuOnbvIrLijFeuxr4bTAimmFvFbJsxDDQnH
r30+4n3X7+ZmJll3sk655sCf5RyECrNzwHgfJQxJDziVqMtND/yOapYdlrVYz8mY57cGU1WfWHMF
wrLRfcILWRr3buWNuMuSr1OAx7c2StCl2bXYCPqNmrzZIzWMM/W3dtUaWxdd2DZ02/aY1w2RtMbI
IgntVhkG2zQLlK1L6DA1Z9DxcpnECYgHq1MOVmznWysq9y7VFpv0ykhYvw+uFf+7fv1tOmUwrfn7
duz+9WvzmqP4/CtohI/80ZAhJmGACOeB9hNDHkkn/76CZXrFCMr88Sf0an80ZDa3PlFtbDsF+1Z6
tR8NmfNJxeQMWRB23Vgy0Mb9g4bsLxx5bBsAha8OCwd45j8TSEYyFDgLTuNlyhzVE31cbZikJusK
mC63p27TKmkLC2iK4TP3+00lxQmW6kDAsdf0ODhbP5AihlCqGRyIknzGEcFSY+UGMuHVlOIHJFfv
LOvatU0YA/OI4J4iwjqhko5W82DUZC4O9Rm+ZZ2E0VMXjeuRN3ETu84h7/SDaLTv6TQ/jREeqCK9
1BlRG5q+c2MsXzmVcPPKcTJLMhy+AF4yf1IFWlAXV1SGcu+JLR5HS/mSDso7C8cad4g596aREpQV
+7c6h01NVQVKc+h9dGFycTqywXSttzkirQsgUPMyzFd5dbvYx5nkKcrLO90K11ZJRJU9k2Jd992w
Dht0rDCZe6syrnVrnZjqvS8y4ae4tTSyYIwmPRfYmC5T8pzXxirQg69RYT4MJjoYNfk+h0Ie7Pqd
08wzqVAYGAxh+1gqHL9z31UgKFG2mbpsYhtKQCbkyH0edqbf2aPYsTJNPIPzHI9dfCiWUixeHgPl
tkHirulmWh/sZpfCiQJnGNseJ9UruUq6P+kZ8vUZ21ItBu81S8U4NbUM7ijxGEuJNThQElxRphBa
gKH7FiuEPZBkDN3bxRuWVeauD6CBn4pQscOT3i75c9KaChRKXlf8+IbFmwyLhcAUEzdrOt9bch6m
aLhEnWSqP9wVuw+nxcZc4m+UpBDprsZ6OhZasDFJ0QHk4aogcpTYDOl9UUkXjFz6YTgYY1BdTDv2
iV9S6ZlhSveMUfpoKBWOGjrWGm4x7o3cZGQV9ERE4GnALO5R6fHj6NXRWE8B2/dBunXkAgzc5ua6
tFh51Co/S4NJ40TU2ANPAGC1sDFakh4ghXQDcaQvCPqkt1Y6hdipPhBnEr1XGpGvi5hV7krtrDjS
YkTtmbYppga53fW7RjqR6MQc3ddWnV2G0i4eUulYUmlx5A0CtxHMTLrOwkG2B5wJYxMTQCxo+wBH
JkacRK+XMzE8LupRo2ENgp5mbcaEGHVoIjZzHFiHblZfp6Dy6mh8cmZReUahzlwfCFJC4ZIENgll
D5qDcVMy0kMudUDt2xXbqSrTr6lhtrusH1FvYRSVjtRHiG+cddO5i/CbBZTJMlktj4YWHKPQcE7O
MJ9bKTdypfDIlhKkRIqRJilL6qRASXHgKlr2knhjIV/6dzz4oYgxoGf+/j66xsM7wTXf/mI+KD/w
x3UEwyhN5cF7flA/P24jEEbkcDox6S5/3cdF9eM2Ep9UPF1hhRgBMig02cD8uI0M7H+wO2HJQWAX
Wpp/dBu5v04HEU0azC3JdSe9AS7JYP3yy74k0tEUDDQRp6as68o+KjxBzJRdoba56hPDk15YbBgp
1WbA6jCWRs7aPGs01x3SW4cA5ktf1gqBz5OyN83COPW4p/mj3hY3eeDm97hZj5cerONYxF35tQu7
8aDnY3ovtBHFNV4ohddN9nuAe9iuFLjpaEljYgfDQuILNDF+dMqAJ20zQl242TbVtdFfsgI3y8HS
vitGvCDns2L8c1gqrIqZOlJ1MLerrJpTlq4BH0cS+iI7vc3zPnjQ4fuu/QctqQJ/gE5mHxzlUkUB
oM1vgCUCmhDcUvTcUPpq0D5QTFKL4TJpvoe7pkGxoK5KiW4CC0JxWlbFUtuM6+RRSSTnWQ8pzOck
5Xmr8YMFNSUWmva9sRcSFV3gz32bQ6ap5oPTVbWvFWbkq0PjmjdDZTSvNOcW9pGEBOFWrbY4gdd0
lQQNFoZB+9Mm+znivffLRVwXrR3snT6YqOfs5GuXZBE9f2AsJ5PQxr1TAxhclwRIaMYiaDG8iAdz
POVuNhfK9t8T4bcT4b8DgqDNh/K17uO/2KIaP1OCKsmpxPHwzsnC0uWPfhwKUgrtWDxDNhSn3Br8
XKIafBGMQdEKQFPISf6PQ8H+BOr3n0/2gRb+gwrV+Iig+BlrNtlLuMJC8SAMNHkfjP9PS1QWrPk0
ibm5zAqvGA7ZvVZj3l84yd4CkL3EwjrxPkVny2y2PP3mHd5wvHGhejUCcU2b/r1Uq3o1TdEeM96b
yEa9g6U8w0BPGUhgKzRU0sA5OmbSg0D3WxlHBEs4+PT5mZN0E4T2sY2UTTkrd1zsj/ZcPJtT56G5
eXeEw/QdvHgu9ilToYi4YiK2kU070VMzA/ILFSgwO/fkfhKseKZFRblhTUfyUkF/sViKw0eTiDqk
wMk6a8Y3xNengBD5rjG+GGG2HbruUAQWtJV7M4j6HETR2aWT5wL2wqg69yRdGWV9Ig7w2RbkeJNb
6FI+Kil7AC05l4q2pun0a0R2kTrAKra3UdSf0GN5qJ63ggAxkhvPjQ5+5H5viaKU87WeLMj+sLjO
K/awDMbFc5IMe6XF3Mxsr1G4EBOe+Hm1rKyquZ9bdD/BFF/YLxLKQCRoYj2abb5b5vaaO91boaPS
c4ozx9pxsOScGwFiM+/6uiV8vfpuJ9UZsp2ENgniiKstwTZHqXadDX4ksvGU9tBg2lzf1EH6apSC
2bLlRXHAbK63L73SHUM995dw2DfIxAjhuybutNfU4Enk82PoGmsLp5FVTZhdIGMTo0CtPTuvTxBD
48YambVkcx/4ZWy92gMBqExfcAKG6wmn6lnXqwjblumNEZsrfXNJy1z/ZuActE6T7Lg6on1XNg0S
v2WZAKnIGTS2Q0Mn47IM8gdZM8viuax7PA+d6pqWXXUoLMbdrSy2NWaMp8lcBqTUSPKzCfNPl5Pf
59xMrrqmc91gSEZO5C5BMuljEuCw46XAL7CiwQGOQjWp7HrdyUagly0BYbQm6NJ8H4u59jvgJtAd
K90sspkoqxp1Nf0FJlvqGp4VRoHeg0k2STMYPcumxFX0B4UupWRSSvV4WXRzI+higBBHXxoQC1oc
SNWTAyKpcBcmp0a2Qvy3NEUYXK4M+qRY9ktl/jTKBqoa2o70OJqqRbZXSSXeQrSNK1W2XlXLAo1V
GOMxhu82lpSuQs08CHzdB9m8pbrzHlbID2f9ET3rO18/vjSl2nosczLJzrGEl+0g9mgMolJMZQeC
OSp6RsOJLwM9pJOPT2Kav/e2ekjoMQEq4s2kMNOi+2SXsHbzrD4zJK43uWxRddmslnStBU52CO3T
dq1/EACCJcKI3n/kivXbOv+mlDJIYsIUAFe3YpPgExAo2TaRxgHuMnxepJVAhqdArNpvER4Dkxgw
qpO2A4uN/FUaEdhRxkAUawK91je47xCEbOjbAPeCTtoYcEyxPDD3DHjbVY/TwRwafHJFfI2lCYLl
0hL33ZvSN36rcz1PgerX+CYY0kBhdgmY0HsafemtIE0WRMesb8F3IRpJslCTeV6TSMxaKwheDAnq
BVVg83wZm1paOLjsX9eLtHUoS17LhgB3vjzje67q03aQNhA9hGycxiM1GA4R8WLxtQ2HCu+IKY9J
6lx61qzGfozUc4Sko1DVQzdiO5EprksaBRPrHk+KNFLvMXG7MYvogV0P7ii4VxRNMqwcMaLNx9kC
bzyNAit9bCJBjkVe2X5mV1l/H0WIiJuxDSNPKeU2qO5UT0mGaC/oVaNswBlGdZQtUcwoPwumqEWb
l5up1w/w33eVDIW3tSm7i8sh9v6tRT5qERP26e+7kycGZf1fmVfLD/u9N3E+WdJBhXR3jXrkZ89/
sAYTCZVG6+LKzuWnOkR8cuEWAMAwMKPm+LkOMYiRFzrAg6EyDpJ/9A8KkT/3JqbLjIxQJSy0yS2E
H/u1N5lUhDNNU/TnBZWr9LgIiWiJnf9Pfql9CCx/qXdc26QQw4DGQvOJZcivf5GWdUNtJaJij2q6
j2lUKxaTuGxedvRhJgKJrujFvm2D5T6B+1xplsbV7EA6VGXiHLCNd280wi5QzTfmdBux4jZmHMp8
aw7tFqoqaY0vw1Rbzu0Y1MOwSTTo8kEMMXS0kl3GJGtJS66qUl+XY0bGs6OEKLgwhixeePMZMDCu
BsAqvpqZGEkRqrILrQmadK2Cmt2UAWxZhoe3krVYw9vxWBoXdUAMfhyy5NJ0Ka4xwGFe5N5icfdu
ttW3ghVO0KoPNm6gBYnspmKVbFn4LpQqhj0NNm6+Nqd8H8zcY0aaE6LeaMj06++RE12XSpw1vfre
G8M9U0D2U6JJPgMztSQRpP1JsauGK8u0DlnsQlLnyMwWvWW5qxjfRdIWOxFwIBVdXcmEGlRMmWKu
9dE5AWif26LlYtOdgQXpom+7wn6cNeUlI2jeL5OIA6/rQh0fbwPpE2ZO+RrFS7wm441P0RHEnFrN
YyPwcPMtp4iuxKsoa1T/DX7i6vQiUIXwU9QxUm1Tjm2hNDOWPcu1tjrnECmUcz+9e38Ftv4fLpFi
noEvpkSCl4PH+tdHrJ6bOgwnpzmzrnkd2cvfL/cIvFY1OGuxC7QVQr91vrXXzZp910FsjLW+C7z/
OFH9rdT4Y7j8x6OOkNKwGT+TB2pKKRDbn1+/DnNqxp7ruzyzCD8QvjB5aVgHUADs7hw7ddf1EKAO
160Gs3hHPYV2Exw0fkdks+fejH+BGzDLcvTlCzJxd9PicrbpumoTOMsX2wxMWCK8u4Nleq6zyl7p
Tc1Eqk0MfxoDHVYgYXsdTevZwHBHQ2MUcNnS9ONF7+4WA78wXd8CdlI0driBxy76lLzYJRMbWIMg
V/qK9YjrjB5gjJBSifmMHVd5DobHS3weJ5x961AqAIzwMRzLnWbkJ0AEVVZ/WzXlQbPdGlMkNbn/
779ierafOSvyT7FZJfCE8xLaCnvJX3+y7qKPxEYFzVkd8mTLQUA8UcMmTCGchFQnwfQ+fP3vf+WH
WuuX3+af/s4//TaVabCbgQnGuQ6Nz2bAThI9CQIkeyfy/lTWASZFFuyRjdW6mVEDmqKYyedlTO8o
5rGMnRc1bmtASOU7YVMsP+uTXlp3arB8NcP6Sz7GNaVMXf3Gef8LFGr/9U6+iYuw5fYturib/zAt
lR/0+43sfpLyQfxxaOcxG+WPfp8MYFpKxo6FvhDhsiQGf0wLLbp//seLbTE6YCj4x2DA/IQSUQKI
MNmw9fY/ss+x5Y37x/MGXe0aBp+PWRPTAVSMf5oWaoHR4b9hm+doYfj9qLuwGgWBbbnmR5FCL+RA
Bcen1kkJLS+tCQp6zO5UhcxWFRbNb+Kpw1nTVgM8/B2rrfd52Sz+bA+GZH84JtbcsofRyMZohYn6
kt6VefqMUOJKfOCXadQxMTaM82wRZy8KM8aXk7YPyuSttAFudbXQZY/GjktVvKlDW1IkqZfrZFWT
GoTuOXipXHqKm1JN8FDJojycntIMHCSP+2ULK5lWTBT4rJZX9nNXnIQyW7uZxLpYxMFGD7JxDXvE
4VgM1ZueLF9C6mSvs/KAu7jYtCxb2LEnuzpRdnBN3WpqiMcxUC1lCo5di4BFCZWv+onE0VNJMzYx
n/HcbCHfMAsetNq5y0t17c7DNlnutM56HIf2mRSOtSgamOGPE+TfF1Fwwf59cYwHQYcxYfb6VwWy
/NAfryPTOF11sANmo8KcTlbBv7+OOn+kM3+nQpZSiJ8KZDmNE7wfmAjbMgyUq+LHoM765PAOEQYD
KMx29Z+FYokPk+BfXkiHva+LexSqYf42+UX8LHewtVADITLLi45vzYq0Pt3TRtlQTgXc1RRqe2iN
TWbMeyyImGczMPmcu7ZUPWwct9vyjp3tvt4npoIaIFirzG1A/+zymMU2s6y4eZpV8eK4FQZHrVyQ
Kt16mNMHqwkuCdtm2n3MrIoyse8m+BamNBgFqWsy7Ilgd8xRhaxSz0sUDz7DswGwPYIcNh0y1tUO
bFVz10vCDaWFRInwkC9BGZOjaZa73hpzH5f288R0EGyUVHSy4Uw/mjos0Qf1cSBGxiY5kUOByx9/
H7kCb1ZmY361+D7RcfB5scnLN8RBfcwI5FubfHVZcq/noCxWPeQoY8RojwlwsM8qXmQmn+sSscMW
6ja7MU1lPAZxhNUiVYhHhfsY17iYKFmneU2YXFgTe2Yyk0S6iE1n9Q9NXFt4LNSPlh1eqlobVxg7
HQXWtBujDmRvX/R+oWSSR2EWBtsD3FP3p6pKKi+dSxKeBkUy/gez0J+Ipbq6CfOUYCQvcBm1nW0g
y53T+NvA4CosljMcJkyhLTAsTJqXTArReqjHNK6OPe7Jq4osW4wniCxYmJ+WKeambYnVUNVRk2W6
hUTOukuDGZ+TkZobL9p1LXJnMyoltvXASMy/zroxrkWtbEs1P+YQoFrW3xgG2E0uWihfnpmgb2/r
2OpWTsqPRgViWwvEny2hJm3Sb2uyafABZMKKvMWrh6TcpVrhp5WybRLlNp3K9rSknJaAcY3XO9ZV
t/STW2XlupmHyRO5sD0d9Tpj1yXG4qtr10mqkjc9Bus2bLFQIKZ7SIpTKIIvcz3Mm0xxtmFrWL7Z
qU+irr8kYM1EhqPzqDuL0J/wLhy1ozbJAeZEq+J+a6yx8nOKIS9orX1YM7pkuH3s+vYSl22t3JUk
di3v85SlO6x0fTetnogVQ7a+DDetHMkVPX7wSed+LlP12pnNN6fCNrMuVtUSbkJS2qp2PLgdoUKq
flNm0Tkuy8OUwH2VAGNFmjIyjtiVB/24twLz+2IpPQg1rk3buA9sfBSLYbnXreUU1k1LYlg8blhR
T6vRsPh7UYdkzXa0lxZaPNqNi3HbmJ9bBUoj793HwtVWWRLeNDrVfd6ZjISwwq2WW5SRzC2ZIM1m
f8dhx5Sp80FX6AXjkKevDm6Ntjti0oLw3Oluyj6+2sRJwKLcL6TIrqymRwREriY1L84BAuEQgmqN
TmLO4o2RWtssjMNdnSkcS3qEmPvDjq3nySkqBq+FpkuDOuj/SXmxRfG9bNRvuQM7LMrsaSnCo6ml
MDF1JYDyIHDVJrBXDLDfHHxCjm4anSCrOSZU9RY5OS+DXWsX6gjyROxprS7je08uwyq3pis5RNXe
KIYvWplvaqG+zLFNxFu9cds8gtblfXFEK7bU0s8F1hzMXCEfnJlhW+mrVXPrxtmNCgQJJDd4Zh2c
E5sZK86Uu5J8hIOtmI8OQ23+5sHD+/2BqBZ9G5l0xkutVWtQw2ldK/pp4jW4tUv3as7tbsoEkazZ
kBPHoK90kFtoPoPlpd35fK9QnGlLAlJcv0bkGnjdDMmOr8Aa+5Pvofs1Jo2r7Yxrys+Ee0Dz9BBD
4y5zbsF5NmpEPm8wpGLFaBH/9QV1wjgk26iu2TMkmcs2V/kW8+kcJ5VWD+EhM8NzxLRjZfXxcCMU
jSiuUJt3pj5dpyLztbyiZS1pwHoHEdWENV6Pe/t+InYjUDAhMW4i17GkE/0XtV3iPccxkYrMDUM0
y0pU3+sxIc1g8mxUrH49MVRfuWH7NcUvEJMZY9uYNugeHQljn4anprrvzenIYjqBvKi3PXy6mVbn
sUTaXmnjJeymqzqXa8qseYNpz01ZuztFU8aHaJn7zdjr76nLYLu1bSQDBAouGVvQf+upj2GjgIf7
L/VU90pKSfba/0V3Iz/y93KKFoZuBF9+nR7ZluXK7+WURtFkIZT6j9MTrcWP9gb+zmZAR6YlGg1a
H/7oRzll4w9FOwQjQW0GnvqP/JwMQ5ZLfy6nqOnopTCdImaUL/3nckpxFCNtpqy89Jh9LCcMl8zk
rKHe0Ncd3ie3mBIMnZdn5tms6lvu168iBJ1r9PyBrKNylWv5sdabz5jUH7K2uOL26XeKjqImIVvd
NE9IrlOvsMdtaAyhjzvwMVLH5yUp3j9Ej+Wgt2QVW+WdGcJZ5NBh0ULUbxClJGf3mEJ3yanDE3Cy
HFAgYyi0Nx0JxjQABG9GcgVwmbeNJob0t7pwm2oK+Kv6waDmHzxq8MGmknS0tyWuWttEG38QrMYH
zRp8kK2uG0bi2CRx+zkZg8LvByPXN0M/JEQE9MmNTSZn4mWu2Y5rBh1QYx/rOFwYhmVdf6zpEA2x
siP/7K23oAXHrHi25V4P0nDrfGz6WPlVAVHrttwCJnIfCFx1iuWGUAdAxx47XtcLE4yINWIZDI86
a0WlWfYda8bBzr1iGPdiLnzSpI/TaF5c0IiVw4KyyfQr/puvFfln7CmVVdn1JyxG2TGw3HTklrNx
teuAvg3V3LoI6jNe0t91A186ZdxpcYdRSb4LWZuGbnHOWaNiBv2mslal4d3prFlTd8CzwmZwF16s
aMBxJqvuMxaz+K5CnqvbkYVt0zm+MZGCxyI3xyiCvK9X12kPmdz0spHRcZr6XmiEerMKNlgJj3I1
jFW2RjUUsDJGIPaZFGrf7h0fWdm6YOW+lPnFoWgkA/xctBCIrKAXqLyBlbTIizM0MmH1iIVYWSdB
eW5ZYS+GuelZaWOBs60s9YtuJhtCD0+V0b2FJTtwCTKHtvsA9unFubZ1WJZrcmdIYCPL7oiSKTk3
ln5HipPXLcqjybo9wzOaPTC+/Gm+b1nIO7GzclnQu6CgQ5E943/zWKrRtWORH1Tm0WCxT1j0WU3I
6rFm7Tiy+odz6cgVIgMEKIB89wMyKq+J2CwDDSgx1gtABGULHujMzXtj6ygwpmsjeYMgHMw7GwQh
tkZYhECcZky+L02mJnvMM0AWYr004BcGfl7mVF8wZCVznUeqd8U+k3VeLSu+itJvpgRUKQVFbmA9
Et5NskacyDtA82v7BuVjl8w8ftSTVRVsUV7PZEMEX5b/Ze88mtvGsjb8V7pmDxdyWMxUDbMClSWH
DYqSKOSc8eu/59KWLdlsdfeIi/6qWpsutygQBIF7z3nPG0pI8qL2tJPmJqIY1SQNJaKoT1VRqSq7
mlVUr5IPWzBvpZRJprImwOlKF7WupCf1JBT1bxs6FyEFcaUnDGypkHMsVNgJCRPBVWRdU0ZTbE4N
ymoZo505dwfflqrCbRDFt+tTS1GOk6hQTv2hQpQYnOtudKpRuCsU8IlZnOWiou+K5CEXNb46SjNV
VP2hqP9JwbyEzX5ENrk2w+2TeAvRLQDl1szyGhR9VEaqj/4ypLlIAly38SIFXMk+1aL/GEQnIiXj
WSNm6rQopuhVJJvSMk9RnArqcEpDY9LY1I55TMrYypaaGFv1NJ+SL7WmByeGUfRFieiQHNErqaJr
6gg+WYTNcJqJjsrUgvOIFqs1G9gIfn/jmQb3u8JUkXastaNzV/RnvujUAF5uHdG7wVx24CbTz42i
s/PxZf5n7/9KywekeGPvPy83qbf9FdUUf/W878N0ZLimUklYP/OdFFIcMIxQqQjYAF/NGbUPOJyY
BgUB+zEwC7v1876viToClwecKP66Kzglw0/7PpihIFlCw3RAdJSda9oLwlNhklLdgUqu2Rf8uTbG
kTNVGsc9kfpCPkmtikhrSR6aL3roH0N/+Wx7UEByaHYILpUZSU2dRaZNnLTzQmP1gfxENnMY4IeG
21V255XsTVNlR+FLBZuPWG2IfZiDlRvYHMG2bmQXzrSg/xkVJmFpnyFt7ZESNkEIuwSXQJwASr1d
oB7j2UEoBtsX67QKiwBHdPu4PIRMd4AbyyfJ9npq48TDxNjFRFp1Hl2bR8tk4DORNNLn4haXAlyl
holfUus3ynk+ZieVIa/HsbtUtPHUb52Vq0mn9F9Hiucf9QGTGsMEZRoVCaVlBXNfxe7wNNfNpZxL
F2FbhFe5a5/UuQ9U46HbQUOjnKZVhgkxNjjzwUSQVOIcPMNu+7yvq3Mp6snJ9sjDHnQFG8qsm/se
5d4kRlCTTwNtKJ8irb7Gp+oaPiz2VW1cpxdSQXGm6dECovvCQ9j4KcM8yapt+nY3Wbc6om0t85+s
ygvxRLc81mJS4GjlnEFLrvHT7mjoQBusAkugskyWCDPJaYzNSQ+GxpJnmTNVSf3z1kNIG+QocDWj
WtS9lF2ZnQGZrJtW8oDtttPQ26usw4G0VkZt0ZosQygg9dsK9ynLh2NEC2wvZPpfJEGIIJqxhJtq
5cxrGsyiFckJyABUvWpaDaDELx7FPXNHMXT6UdDuxn3MBQzc16lkZEC31wVtKPudHDlVeKbKPjKT
uFM3/sB16sjo8f+RJX1d//Q/kCXtsOSyGX9dA8VfPq+BO2InbAYWLdDfHWvie++DaSQpUDZesrQe
NEE/eh/rAx63fI8wFFgIdxYSz2sgUDITGZV6yGKSKxNV9xe4FupPPhEcCUY5iXisqoyoxam8vlUc
V8Ji37bz8xQSHBxvEydmFaFK3KcfA1jRczUslUmloh2JI4tlwKiPCkN5agEFJ/hLdMddXGuQlbGG
r+Vm5WXeXLA7UOBkyNbTJlw0HoaLVnjfuejllRYGZptS2EG/SOdWggealA/OBfv2rVHaJUpEjbot
Gk+HCDKhV2cUCR/dULsBgkzPLcWVhHyV0LmAJ1zGAf44if2PLoGbkCqdS5DIHkd1dYvKslng1djd
pCACpAydhHk/LOQ+nUtVf0VJcd4LECGWClwfQSn0YmkImKEFb0is8toXAAT+jutKQBJerS0j2SGD
DbRiELBF5nnt3BJQhgam4QXFNSqPhS/ADoeZdVWWwVELDqIovjXt+u6s9YqZao8e3o4CN+mTFTZe
yqyPGn8Wl0L/NF65O7RF4C6WQGDiYIwQ9mK2mAfHjkBpQuCaEdgmFPhNIJAc4JhlJ7CdQqA8ksB7
FIH8NCxMDVCQJjAhjdIIK68cBoV2BXcRidGjCoiEg8yciRf+CAJf8pVq4zekH1QCe9IBoUKBRmkC
l9LYujKBVJHjTQgf4BWJZFeDQLOKRFkXAt+SBdIVCMyLKGN1CdX9Rhd4WNQ6M0bPt0y/nGNwYIir
YGcmIJos0DSbaYULvFZlNVSZbFbH8jIGfssEDqcYwUd6C32ZCozOFWidA2w3At8NxfAJtuMCePSL
LvC9RGuvKPDRSQP98c79vAcMbAUqiAJNmxTKcBEKxBAewdoRGGKrlfeKQBXrUlHh+qXmF19KLBwR
8Q+eD2lFSPm4MCLDnUCKy89glJAE52XVZV/hfo8mzasdLhBaCNZjgF+7O24NbWK71qLM+5Xw6x0M
DUWaW352yEeY0ryudMapczDfCbzNVdkN1bQxuMQ2UlMp8cdbLc9wbFFpu7TcurYL86RWhm3sF7jK
RcZV7BJla47tfEzaM9WHA4wBHbxSuv608h/DMXcgyFqPvWWxJdojkubWqYjXqS7rIuMSl2s3wkvA
KrsciwMAfVxV8QbR57hb6NzhdjNRSKuYZT1ZiWnnDXCX3Kc4dy/icmhol2oZgmeTTc2G3HZ3jE8K
NZXno2wWK69BCq60iP/S4y5U8Vt21c9hDh3RNOv61Nclea11pbGVZTe6yWQ9X8WtjbugEvtd9s/u
9HV3kt/cnSb09XuKc/FHLzYmaCumg+EeXECBof0A5QjmwZKYCSZiJJiClPTfQDld/kCMAKCb8yOX
7Xljcsj5gTvosMdoiBzgMPyFjWkna3hRw7AxWSJ3TWxJKi7IEA9eb0xt3ldG6vnaedXr8nTs26Nu
0NHKhLgjlGaxYF1q8B0YPloqGVKVpz+wW53WSCNnhsz0j6BHfVmX/kndZVRacrqWSMCZ2FhKzPqq
PevR0M9w8cGaN2vuByf97AeEhyTxVaSHy3Soj1VNvSqY0OGTMiDTz6GxsUacpiSlTBBf3laRkwGH
JfVq7NxbEuE+4lhAqlg2EkHdJ+eGp50rnTl3cJWz4oJQ5lE7Glv4Otid29PW75dYw0Nhy5/0HG1S
5xnHKStAPpT3dgDWU413PYTZSaQmrMEqWR0mWA/Ma3cq91kztXL/rlOaL1HfklcT+Su1YbyJzh1E
ywfWqluGMkGunUVJcRxHNOsdbULR+njISRk2SbF9HjAuxamlOA+NNj/ukxpXmsD1ZlaSRZOINgEO
h+eiM8xEnEgzYiGkj0+2SthKq1sPY8DFzd3Ev1TdAdCuKrc+9pPrkP7BgNKO8DYfln5a2ecVctG5
ZXV8a42PY5tHOGqU9NjQeBSlbaiYS8Lg0HSU5N3oveVdyp6mYAESepPCC4i9TLGB0DrWiCDR2PqH
OFxpGkmsUhDgQ+dD4NZwctbM3uAWyLJV4iI5ZR1jM9ErxLNy7i4gNcfzkunIss40sl+08FRJi5Ox
Ds+Boo7qwRtnQWI/uSMy/pAAJYqFQJsNDS5IimuR3S7KGTn0CXXVlQEgtHCWdUigWdiXEE9UXEcT
r8T0KVCCK7xh7GWTG3SXihyuWPFchtgx/h6aJl3GyHEYf/FJi940UX7I5sL2ADNCJGeTAeXoXEoa
BRvmKDg2qgr8WBUpNtVF08jpnGRT5KV1fp/FBNcEvmkQfu3ox7mDjpwygo5kFJcoUNMvXWWEt6nP
aLPynZS0mNQVRAFik9xUIWcdur2fjy5GRWLHKHG/tTsqAL9DswIQGTxCBLUQTlsuOulEWsk1dZ0R
C8NBBwK6iV+UQw2FcDGBOE7jJIWdPSvzJJ6aMGUuRwW0t29oo5JoXqmhQnSTGp9FZEmujKh4qtPx
vlZaf1Hn6A1jJy7XgQK7VetNSqPCxKeqc09NyWqXeEDpV6rU3OGZWGNSVDe9u/TVHo+zoMkfOs7K
GiUQLD/EWsL2i6UUDDcMhHBUJQmQKbVznBI7AKFwUDDMakj6wUQ/t1B24Ps1D9JUOkZMtAo07bYV
fn8Q3G/IOzi2wvSis6qpJFnUhF9cbAKbzGw/oTpCdQ8cLZwEU+EpaHe4CzY7n0HhOBgI70Evkk9V
3s2Hh9S2+hMZ9dA2xngtd7KCCN66G4WTYRASXV5XyWNFHztxk+Qow/YQFOO0MQISkIUeIhXeiFEg
3MBanyTEIUO4ITwUS16eCldFqwL8HYTTolIkSHa86xgLRhkrRiTVrIJyzgaNTWOAXWMfmea8Eg6O
bZV5CwUjOAVzR8qBco6tOvGWwvkxRphd2d3HBv3YzJL0CxyaMccQXpEgPLyyxj+yEU6SOZaSTSiv
YrslSglGcShcJwPhPxkKJ0qpd2Y4qWwr4VFptMHM9VXzM66HCb5PWFmmav2QYW2ZNsYnfDZRYCTK
JCzH+164YDZkuPGh44WvIppIlHEWmxYzS1YZ4aGp4ksUOeREtpmykgpIXB01s/DdlILuMm2S01it
yA/CmrO2nZWFVaeCZadE8e91/ozvdNrHCv82Nr6N70IVNE9VYGEA2UGByYajOtF9OMUkYujRpZu4
EntBM4Vrc+LX8WXiEO9G1FQceXPfTFdWg91UkwQ47tbTBn4tnl6VhXUDfjs2Bivx1JaxvawcdQqQ
tgUbGIQWVRqWuMtX9kUg7KA9M72C41LOdyjBPyww0gLfQC7X2/Jh+/hr1y7+6ntxJH+gP5GpZL63
5t+7drhhjCx1B53CN5bX88QSYfdPFo7fkUvzg6UDg0IC0yAK/8XiiOrsFcAjunYgUhUit4WDLnPV
nwAeTVI7pS6i6FyR0RVBLQlyeRq0iS7hBoooENSfXPNpU4TFpWLhwaMmOMUmq/7oSHapblBM+506
CWv7zh96FAxBewN+Wp7IjEH9T64XQjOo8T8YDF2d4p17PkQ0+EZIsZOrRjwN4GZm0XDeS3hiMaLd
8OAY+FtFJ7k8XqQmFj+WW97haL7MjWzE6a6/G+Xu0aTzJIGKA2hjvvJ6vJ7xO1zplXNJTg2oQikk
kQlR2Mho53lXR0QKJheSrrE4y0MtcuvOMXi4JC0xBdksZML72Lf60l61Zo5qOiKJ1FQ/6wToTroM
QhLjy5gar2jnjqGHq1xDk+CUlk0ct2vOk8L/1EBBmqVGHlGPMfoYc/KgNZEM3UgiJJql3V/5u+ho
HDaIkcbAdSCZh2xp8mCFkzx505VInpZFBrVVk0ZtilzqTCRUQw01zgORWu0pgXJG+Opx0evqBap1
wF6Rcm0WVr0sRfK1vwvBZm4BqY9gbFckZKMIgyrrlyioWvKz612Udoh7yiWRt9qJnZd0fYkzEAFR
UckEx7olmcoR2jkpWqiYt7WDFSn3SqHpM3xIAD9DnLMRjTSuDWQTEY+bQsXRmTzLRnKphw4r6G5H
wUNlG2fNRxSIp5ksezP89JZxHWHnzky7dKR1JYbcPtNuI4+vej89zpmCq1J0GnYoKgvm45oYlNdi
Ys7kHKOtM0J9CIvwayu6EAw6da5prRaeJYYfjmt40KgTo24eCVKeprfuUQRPr0lQxfSCukf8gD1P
Ru9h7DuoLRR5k1xQ/TJB+jME/U+HB2jsCIE6/l3gutVMQ3jQCNagEKcKGiEEX2MWtG2IkhGSoQvb
sKYwmdmCgCh5ZCTJcBL7gFcKkqIPW9EacgzsZQOPLQOzaMatGJEJeqMMz9EShMeoNCi48qg6luX6
xCTZbVobsToP4koiXUX9YvYKRcmQXZOMAtlx6AAzUvaCAkmDE9iARmihBE1lm7jeY5zh18jTNWUA
yaRQCi8aA5v3oVXnCj4pU0qWZJ4ppK6kWecgX1QnsqJ7s1Qua2/mIl1F6LzzqgzgdUbHaVVnN//s
HzvWi1CK/T7rZR7/NsvKzeMePyrxh89bCEo6LOcgrzDfFj009OIXWwhyORlcV4Wbv9PfPW8hzgeh
vP/umC68g5/7a/sDYWMs+Xjk4yCgy38J+EWF9MsWwnFkR4j9cTHmuK/768JzewOYpjqX9eyuwz8D
rX4xkwjxhWBXlRfS6GLbR+znJ0PPmdULx1o4GJD9E/rbSmrT49GjL45G0iZlV/+I47c1K0MbpzWF
9IJRp5VMAobhxLuW01pvsnnhOi2a2qo7DcPxGktMAs972yfo3Lp1qvSIfEwiYBiuTywjOwYH91al
Zh1hOPTR7UzRJObXZeYz0iJFYqXI3kOqtze9Jp/QJ51BOiB72kNVJZchfhcGHIC8k07jLlgOBZO7
bHROwiH+7GJ1VZt5deJ3zbXcwqHxCjwgmw4fPJrHe7OMpFVdsy+WvTEssADYmpm5RWAVzmifkE0X
7drptU+pmrHmNVCAmIBu1Na/9LMuO+I0H5w0OY/Aj22tFSQAvInv+nBgJCUr8HNcLHNzc0M1vPAy
qkbXx3jISLZmrMx7FMNKFudLvO8eQeiuOjPyVgib7UnSGt48wrVuFgaSOW+k/txCTowHpXoXuPa6
1RBb6apCigUEwUmad/SwabSM4cxoZv0lwYWZLLm6WuI8ez6OendiywPG6TRrF32FwCqv+5Fa39ZL
59SX8qex8QlDAeSdw+fVAd7pKPQx7pdJEOB1EoTOUV4M/qUWqbfUvcEkF1uySiTK6EXa5xGubk5o
itPcNGbsndV1isGVnJQO3Wu0ojSYd6F8pWR4U2vYMkzSAHeDSA7ugg4aKvaH9kST6nCmeZYwO8x7
LLNqUnSk7MILXSyR2PawL7yxJPawLiwfm4aI59g81puUS0zUvRv2H3MjeLS05BQzJ1jrSoH5Y1mD
3UrNRk+qYRrq2me8XL8QFGzASbeWg6OzsyD/UGXvurDAsxngLSRVw5J9xO4pRcARWrM0jk5N1yJi
CLgdes51MqZPMks3NhD4d5oGOSgw5Y1JK4UPiil9YiC+wPnyKobpMrTSjSH5X2qCP/0SYkvRSCdF
j5JMc2/7NDwZuoRvy1XvvERLSRJyb9zeOmE/wL5X9dAK5iTwRrZzlqpYc1vdrSkzlYi9OGTjcEr0
oPJ9pTtXXRmeeTlzZhfmjm21552io1TlsyRugOulcoS+aAo97tjLGauY3UkuGffeUN+J4GUvNUB6
DJGStdLKBGZ5QHRzNXwyGttehh7U3ogouinLXI4khwRBR7Sjbo+kuw3KT2WVHGtOu4409QiH3Lsm
BTppYWsKh8WjnF1zyg0LiCTFVyAt99RntGVRzLjUtJcqrJQ5vZM9d2sMwFRfbPbOuBp1GC1hnoRH
qZVP+4oMLBUoSay4rFKQqyK9vcgaXKlVROmLph0uPZkJvCIXK5lLwJp0qQ3mOmycBwwSuLcs85ZK
m/lygbVbAzLQsuXPMrHElf44az35WnXSRWzBZ1HzCo9PYD1HMeJV0mpTxMQIlZPaxJCs/9iM3jWV
+b2V0P15qr2OWp8JkSdJi7CKr6ghGXN5JCQNqnWvBlY0V9LYnuhmjkJS8JUDeNGspIuI7rOsR/c6
LBBCBKVykwYtCgbFCh5yXzozs7adZxVrRBB87DB5KzF7Y6T2NPYM1evU7YB1ZGA2YQ0XVMImThGO
ccnOPG5UYQLUZgsVTTFODLu8cQYcCcrEUifjmH2ByeTMc73VYCGPn1wYWBOrre4Z0hPP0pQXehCf
+Z5yrhnul75qnpSGsTj208cx1g6RpzNZqo3Lhql940jVxJTLjM9fzO24P5UhVQEEpjKuplCzgrG5
0XowF1c+jrPwLmxF2BmeN5zN+MmJ+nVVDHeJ0V3mXXjB/cBF6JvbJFLOMLiXJ5Q7xHbI6bKxKG17
p75ONdxvTaqxPjzR5f42VaGO6caFiY9i7ugpwxaeat23ZlZMtiSNDpucGagAMOR2pTIEK9ZYbJPz
VVqkqzJE9WIlFcsOcofcFDNKBc8DU3HjJR5QR+Noy0dS1B2loekjecuwzhlq9QjoJ2BgRc5epuUM
aWRI+JCwFVjRwQLsOpz8f6nKvgEPs029me+0jpfNthyutlUT19XzLED89iIL0vom+99e9PaBvqks
b4Z8++9/bR6ZCM+Cqi6Dh1p09z8pMH9hN+9ObHfWbx4n3qDkbB55B42WX6fEg50s7354lzhLvW+/
lih0PshUbUI/+fJrfOsqvP0Bv17Ot1/z5sn/fBGUn4vdv34RsK0zVJUEIFBI8cNHfXURIHuJS4Aq
ztpdpK8ivRe3y+/dEG9/zINfCkF+eFX3//VLoX7AtII4BjEze30N4KxDtNgR2nYX6W96OwgZ5Duv
gfVBfNeOht3e7ufnS8EzsaPak2rwd7gIL9cFgzv4f/j8fNcvlwQVQqPpwOt7vttf3wnOB6HIZsCq
fL0+f4eLsGd1lN//NOwslB2hHv+dO0EVQg4ic0X3yV33d1sSIGD9L7eD2ARe3g9oSmz4XLTO4of1
9tX9QHawigAGPPdveQ0MWfBm37kkEOhOdimL37dtEi3Pq2sAU5icIhnCwZ+/Bn/iZvledeBOFz/u
6o1gW+0rS37vBc870K+/f1FN7FaNV68U9cfXN/+63Yp//+d1ObK72V/89vnm373Tt7//9hF/ffNX
b/b8uZ7/5yrYlpvywR92vxi+negZJur//td/Y/7zuHm55gk+ydcb/cfZ/Fo7fb8B3j56HuwLzpKZ
T7z/4AmYW/l8oB8+GjI71rsP/hZhZlc17q8o/9RVmW7iTctXUj2f54tz50F497mTHd1Uv3ylwujn
IAdP6xLThKyq970Fe8S7z3+2jX87y8q9hCUGX+8+/h8Btu/9fheMqtN9aDCb2rtP/q1wzvee+KpJ
4IY81s+n+eO+FI4T7z71oyTflsEmfj7Ui8Mf4pE9wvJ9z6G/VzLveGJPtuUeK1/lEA/rW2ZA7/0+
TzfRds8VOcQzerqpqu2+a3KIB/Q0q377L2qieLtniRT96btvxfXmkQX4+UAvbsRDPKLrTbnP+VnI
nA9w4mVALNWeU1cP8Yiut+lj9hDsW73UQzyjb3It3nu7rzPO/fka//hOhV3a+697tveaHGJHXcNp
25bb4fksX5z5IZ7Us02+7245xHN6tm03v9aOTCUP8Yi+KSh8761yEW8etntqR/UQz+gFSVr7ijvt
EE/oH8VNvPfK/GG80vvfIP1tshUhD7/e8NohHlVcvXiDMt2Uj3sXMtG+vns9EG8yC7bevg9xiKdW
HH+BpPYhqB72vcchHl/xHm/nFBziuz5tguq38/ugyvd9jkPst+JzrDf1dt/xD/E8c3xs4iab8n6/
UdwhHuuv7/GWFd0Bvgthdvf7AsV3v4G/2dsTCnvI9z9vYBj7Cjb9IA9zUEXBkDXP5/ljBxaI9PvP
PYs3+6oH/SAPMYVJsmeD1w+xB1//kaHPu+8ZoUvasw8Lk+93X/ebrb/Zd2kEO/b9B6fGx771+Ug/
bhnjEHXyTYMp5XbPwQ/Rzf5BoP17v9O3Leffe/TPeFHuuS6HeE4/N/d7HiTjj5/SfbDs9+HFr2Dt
85xy35+9xqLFKx7i7ab8z/8BAAD//w==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xdr:rowOff>
    </xdr:from>
    <xdr:to>
      <xdr:col>4</xdr:col>
      <xdr:colOff>86590</xdr:colOff>
      <xdr:row>29</xdr:row>
      <xdr:rowOff>137102</xdr:rowOff>
    </xdr:to>
    <xdr:sp macro="" textlink="">
      <xdr:nvSpPr>
        <xdr:cNvPr id="2" name="Rectangle 1">
          <a:extLst>
            <a:ext uri="{FF2B5EF4-FFF2-40B4-BE49-F238E27FC236}">
              <a16:creationId xmlns:a16="http://schemas.microsoft.com/office/drawing/2014/main" id="{1E285133-CBCD-4EF3-A468-A246E84AA4C7}"/>
            </a:ext>
          </a:extLst>
        </xdr:cNvPr>
        <xdr:cNvSpPr/>
      </xdr:nvSpPr>
      <xdr:spPr>
        <a:xfrm>
          <a:off x="0" y="12700"/>
          <a:ext cx="1832840" cy="5355936"/>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75000"/>
                <a:lumOff val="25000"/>
              </a:schemeClr>
            </a:solidFill>
          </a:endParaRPr>
        </a:p>
      </xdr:txBody>
    </xdr:sp>
    <xdr:clientData/>
  </xdr:twoCellAnchor>
  <xdr:twoCellAnchor>
    <xdr:from>
      <xdr:col>4</xdr:col>
      <xdr:colOff>7216</xdr:colOff>
      <xdr:row>0</xdr:row>
      <xdr:rowOff>0</xdr:rowOff>
    </xdr:from>
    <xdr:to>
      <xdr:col>21</xdr:col>
      <xdr:colOff>14431</xdr:colOff>
      <xdr:row>29</xdr:row>
      <xdr:rowOff>137102</xdr:rowOff>
    </xdr:to>
    <xdr:sp macro="" textlink="">
      <xdr:nvSpPr>
        <xdr:cNvPr id="3" name="Rectangle 2">
          <a:extLst>
            <a:ext uri="{FF2B5EF4-FFF2-40B4-BE49-F238E27FC236}">
              <a16:creationId xmlns:a16="http://schemas.microsoft.com/office/drawing/2014/main" id="{AB646362-D818-4B9C-8542-FC673FAD4C76}"/>
            </a:ext>
          </a:extLst>
        </xdr:cNvPr>
        <xdr:cNvSpPr/>
      </xdr:nvSpPr>
      <xdr:spPr>
        <a:xfrm>
          <a:off x="1753466" y="0"/>
          <a:ext cx="11292897" cy="53686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49357</xdr:colOff>
      <xdr:row>3</xdr:row>
      <xdr:rowOff>57385</xdr:rowOff>
    </xdr:from>
    <xdr:to>
      <xdr:col>2</xdr:col>
      <xdr:colOff>347807</xdr:colOff>
      <xdr:row>4</xdr:row>
      <xdr:rowOff>148883</xdr:rowOff>
    </xdr:to>
    <xdr:sp macro="" textlink="Pivots!H3">
      <xdr:nvSpPr>
        <xdr:cNvPr id="4" name="TextBox 3">
          <a:extLst>
            <a:ext uri="{FF2B5EF4-FFF2-40B4-BE49-F238E27FC236}">
              <a16:creationId xmlns:a16="http://schemas.microsoft.com/office/drawing/2014/main" id="{689B220B-C42F-4C73-A07D-0C65C1FBC4E9}"/>
            </a:ext>
          </a:extLst>
        </xdr:cNvPr>
        <xdr:cNvSpPr txBox="1"/>
      </xdr:nvSpPr>
      <xdr:spPr>
        <a:xfrm>
          <a:off x="49357" y="598578"/>
          <a:ext cx="716973" cy="27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143776-B814-4F04-9331-96F96F70B691}" type="TxLink">
            <a:rPr lang="en-US" sz="1400" b="1" i="0" u="none" strike="noStrike">
              <a:solidFill>
                <a:schemeClr val="bg1">
                  <a:lumMod val="85000"/>
                </a:schemeClr>
              </a:solidFill>
              <a:latin typeface="Aptos Narrow"/>
            </a:rPr>
            <a:pPr/>
            <a:t>2,400</a:t>
          </a:fld>
          <a:endParaRPr lang="en-IN" sz="1400" b="1">
            <a:solidFill>
              <a:schemeClr val="bg1">
                <a:lumMod val="85000"/>
              </a:schemeClr>
            </a:solidFill>
          </a:endParaRPr>
        </a:p>
      </xdr:txBody>
    </xdr:sp>
    <xdr:clientData/>
  </xdr:twoCellAnchor>
  <xdr:twoCellAnchor>
    <xdr:from>
      <xdr:col>0</xdr:col>
      <xdr:colOff>49357</xdr:colOff>
      <xdr:row>5</xdr:row>
      <xdr:rowOff>160033</xdr:rowOff>
    </xdr:from>
    <xdr:to>
      <xdr:col>2</xdr:col>
      <xdr:colOff>347807</xdr:colOff>
      <xdr:row>7</xdr:row>
      <xdr:rowOff>87586</xdr:rowOff>
    </xdr:to>
    <xdr:sp macro="" textlink="Pivots!I3">
      <xdr:nvSpPr>
        <xdr:cNvPr id="5" name="TextBox 4">
          <a:extLst>
            <a:ext uri="{FF2B5EF4-FFF2-40B4-BE49-F238E27FC236}">
              <a16:creationId xmlns:a16="http://schemas.microsoft.com/office/drawing/2014/main" id="{E636705C-860C-402E-AA20-C964BF0EBE68}"/>
            </a:ext>
          </a:extLst>
        </xdr:cNvPr>
        <xdr:cNvSpPr txBox="1"/>
      </xdr:nvSpPr>
      <xdr:spPr>
        <a:xfrm>
          <a:off x="49357" y="1062022"/>
          <a:ext cx="716973" cy="288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7D7992-8782-413C-87F6-74AECDB4EBA4}" type="TxLink">
            <a:rPr lang="en-US" sz="1400" b="1" i="0" u="none" strike="noStrike">
              <a:solidFill>
                <a:schemeClr val="bg1">
                  <a:lumMod val="85000"/>
                </a:schemeClr>
              </a:solidFill>
              <a:latin typeface="Aptos Narrow"/>
              <a:ea typeface="+mn-ea"/>
              <a:cs typeface="+mn-cs"/>
            </a:rPr>
            <a:pPr marL="0" indent="0"/>
            <a:t>11,997</a:t>
          </a:fld>
          <a:endParaRPr lang="en-IN" sz="1400" b="1" i="0" u="none" strike="noStrike">
            <a:solidFill>
              <a:schemeClr val="bg1">
                <a:lumMod val="85000"/>
              </a:schemeClr>
            </a:solidFill>
            <a:latin typeface="Aptos Narrow"/>
            <a:ea typeface="+mn-ea"/>
            <a:cs typeface="+mn-cs"/>
          </a:endParaRPr>
        </a:p>
      </xdr:txBody>
    </xdr:sp>
    <xdr:clientData/>
  </xdr:twoCellAnchor>
  <xdr:twoCellAnchor>
    <xdr:from>
      <xdr:col>0</xdr:col>
      <xdr:colOff>59747</xdr:colOff>
      <xdr:row>8</xdr:row>
      <xdr:rowOff>101623</xdr:rowOff>
    </xdr:from>
    <xdr:to>
      <xdr:col>2</xdr:col>
      <xdr:colOff>434397</xdr:colOff>
      <xdr:row>10</xdr:row>
      <xdr:rowOff>60926</xdr:rowOff>
    </xdr:to>
    <xdr:sp macro="" textlink="Pivots!J3">
      <xdr:nvSpPr>
        <xdr:cNvPr id="6" name="TextBox 5">
          <a:extLst>
            <a:ext uri="{FF2B5EF4-FFF2-40B4-BE49-F238E27FC236}">
              <a16:creationId xmlns:a16="http://schemas.microsoft.com/office/drawing/2014/main" id="{3E90B99C-D339-4F18-B932-036478A7F229}"/>
            </a:ext>
          </a:extLst>
        </xdr:cNvPr>
        <xdr:cNvSpPr txBox="1"/>
      </xdr:nvSpPr>
      <xdr:spPr>
        <a:xfrm>
          <a:off x="59747" y="1544805"/>
          <a:ext cx="793173" cy="320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AB6866-6682-4D5A-8453-FECF3061FFEC}" type="TxLink">
            <a:rPr lang="en-US" sz="1400" b="1" i="0" u="none" strike="noStrike">
              <a:solidFill>
                <a:schemeClr val="bg1">
                  <a:lumMod val="85000"/>
                </a:schemeClr>
              </a:solidFill>
              <a:latin typeface="Aptos Narrow"/>
              <a:ea typeface="+mn-ea"/>
              <a:cs typeface="+mn-cs"/>
            </a:rPr>
            <a:pPr marL="0" indent="0"/>
            <a:t>$649.0k</a:t>
          </a:fld>
          <a:endParaRPr lang="en-IN" sz="1400" b="1" i="0" u="none" strike="noStrike">
            <a:solidFill>
              <a:schemeClr val="bg1">
                <a:lumMod val="85000"/>
              </a:schemeClr>
            </a:solidFill>
            <a:latin typeface="Aptos Narrow"/>
            <a:ea typeface="+mn-ea"/>
            <a:cs typeface="+mn-cs"/>
          </a:endParaRPr>
        </a:p>
      </xdr:txBody>
    </xdr:sp>
    <xdr:clientData/>
  </xdr:twoCellAnchor>
  <xdr:twoCellAnchor>
    <xdr:from>
      <xdr:col>0</xdr:col>
      <xdr:colOff>92365</xdr:colOff>
      <xdr:row>13</xdr:row>
      <xdr:rowOff>142009</xdr:rowOff>
    </xdr:from>
    <xdr:to>
      <xdr:col>2</xdr:col>
      <xdr:colOff>282865</xdr:colOff>
      <xdr:row>15</xdr:row>
      <xdr:rowOff>44161</xdr:rowOff>
    </xdr:to>
    <xdr:sp macro="" textlink="Pivots!L3">
      <xdr:nvSpPr>
        <xdr:cNvPr id="7" name="TextBox 6">
          <a:extLst>
            <a:ext uri="{FF2B5EF4-FFF2-40B4-BE49-F238E27FC236}">
              <a16:creationId xmlns:a16="http://schemas.microsoft.com/office/drawing/2014/main" id="{AD7B5829-E9D6-47BF-A613-3D0F1B3F3157}"/>
            </a:ext>
          </a:extLst>
        </xdr:cNvPr>
        <xdr:cNvSpPr txBox="1"/>
      </xdr:nvSpPr>
      <xdr:spPr>
        <a:xfrm>
          <a:off x="92365" y="2487179"/>
          <a:ext cx="609023" cy="26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9D90BC-C162-4FD8-A590-6EA87E650DBE}" type="TxLink">
            <a:rPr lang="en-US" sz="1400" b="1" i="0" u="none" strike="noStrike">
              <a:solidFill>
                <a:schemeClr val="bg1">
                  <a:lumMod val="85000"/>
                </a:schemeClr>
              </a:solidFill>
              <a:latin typeface="Aptos Narrow"/>
              <a:ea typeface="+mn-ea"/>
              <a:cs typeface="+mn-cs"/>
            </a:rPr>
            <a:pPr marL="0" indent="0"/>
            <a:t>2.3</a:t>
          </a:fld>
          <a:endParaRPr lang="en-IN" sz="1400" b="1" i="0" u="none" strike="noStrike">
            <a:solidFill>
              <a:schemeClr val="bg1">
                <a:lumMod val="85000"/>
              </a:schemeClr>
            </a:solidFill>
            <a:latin typeface="Aptos Narrow"/>
            <a:ea typeface="+mn-ea"/>
            <a:cs typeface="+mn-cs"/>
          </a:endParaRPr>
        </a:p>
      </xdr:txBody>
    </xdr:sp>
    <xdr:clientData/>
  </xdr:twoCellAnchor>
  <xdr:twoCellAnchor>
    <xdr:from>
      <xdr:col>0</xdr:col>
      <xdr:colOff>92651</xdr:colOff>
      <xdr:row>11</xdr:row>
      <xdr:rowOff>31281</xdr:rowOff>
    </xdr:from>
    <xdr:to>
      <xdr:col>2</xdr:col>
      <xdr:colOff>391101</xdr:colOff>
      <xdr:row>12</xdr:row>
      <xdr:rowOff>122779</xdr:rowOff>
    </xdr:to>
    <xdr:sp macro="" textlink="Pivots!K3">
      <xdr:nvSpPr>
        <xdr:cNvPr id="8" name="TextBox 7">
          <a:extLst>
            <a:ext uri="{FF2B5EF4-FFF2-40B4-BE49-F238E27FC236}">
              <a16:creationId xmlns:a16="http://schemas.microsoft.com/office/drawing/2014/main" id="{02DCBB81-A78D-4E9C-AB3E-47F12CB8401F}"/>
            </a:ext>
          </a:extLst>
        </xdr:cNvPr>
        <xdr:cNvSpPr txBox="1"/>
      </xdr:nvSpPr>
      <xdr:spPr>
        <a:xfrm>
          <a:off x="92651" y="2015656"/>
          <a:ext cx="716973" cy="27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088619-420E-4FC5-9B4C-B614CA053D88}" type="TxLink">
            <a:rPr lang="en-US" sz="1400" b="1" i="0" u="none" strike="noStrike">
              <a:solidFill>
                <a:schemeClr val="bg1">
                  <a:lumMod val="85000"/>
                </a:schemeClr>
              </a:solidFill>
              <a:latin typeface="Aptos Narrow"/>
              <a:ea typeface="+mn-ea"/>
              <a:cs typeface="+mn-cs"/>
            </a:rPr>
            <a:pPr marL="0" indent="0"/>
            <a:t>4.0</a:t>
          </a:fld>
          <a:endParaRPr lang="en-IN" sz="1400" b="1" i="0" u="none" strike="noStrike">
            <a:solidFill>
              <a:schemeClr val="bg1">
                <a:lumMod val="85000"/>
              </a:schemeClr>
            </a:solidFill>
            <a:latin typeface="Aptos Narrow"/>
            <a:ea typeface="+mn-ea"/>
            <a:cs typeface="+mn-cs"/>
          </a:endParaRPr>
        </a:p>
      </xdr:txBody>
    </xdr:sp>
    <xdr:clientData/>
  </xdr:twoCellAnchor>
  <xdr:twoCellAnchor>
    <xdr:from>
      <xdr:col>0</xdr:col>
      <xdr:colOff>0</xdr:colOff>
      <xdr:row>2</xdr:row>
      <xdr:rowOff>46183</xdr:rowOff>
    </xdr:from>
    <xdr:to>
      <xdr:col>2</xdr:col>
      <xdr:colOff>400050</xdr:colOff>
      <xdr:row>3</xdr:row>
      <xdr:rowOff>103332</xdr:rowOff>
    </xdr:to>
    <xdr:sp macro="" textlink="Pivots!H2">
      <xdr:nvSpPr>
        <xdr:cNvPr id="15" name="TextBox 14">
          <a:extLst>
            <a:ext uri="{FF2B5EF4-FFF2-40B4-BE49-F238E27FC236}">
              <a16:creationId xmlns:a16="http://schemas.microsoft.com/office/drawing/2014/main" id="{0F161DEE-7A32-4AE6-AD25-58A3B0B84137}"/>
            </a:ext>
          </a:extLst>
        </xdr:cNvPr>
        <xdr:cNvSpPr txBox="1"/>
      </xdr:nvSpPr>
      <xdr:spPr>
        <a:xfrm>
          <a:off x="0" y="406978"/>
          <a:ext cx="818573" cy="237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tx2">
                  <a:lumMod val="25000"/>
                  <a:lumOff val="75000"/>
                </a:schemeClr>
              </a:solidFill>
              <a:latin typeface="Aptos Narrow"/>
            </a:rPr>
            <a:t>🛒</a:t>
          </a:r>
          <a:fld id="{6D657A02-534B-4408-89EA-47B258CA0DC1}" type="TxLink">
            <a:rPr lang="en-US" sz="1100" b="0" i="0" u="none" strike="noStrike">
              <a:solidFill>
                <a:schemeClr val="tx2">
                  <a:lumMod val="25000"/>
                  <a:lumOff val="75000"/>
                </a:schemeClr>
              </a:solidFill>
              <a:latin typeface="Aptos Narrow"/>
            </a:rPr>
            <a:pPr/>
            <a:t>Orders</a:t>
          </a:fld>
          <a:endParaRPr lang="en-IN" sz="1100">
            <a:solidFill>
              <a:schemeClr val="tx2">
                <a:lumMod val="25000"/>
                <a:lumOff val="75000"/>
              </a:schemeClr>
            </a:solidFill>
          </a:endParaRPr>
        </a:p>
      </xdr:txBody>
    </xdr:sp>
    <xdr:clientData/>
  </xdr:twoCellAnchor>
  <xdr:twoCellAnchor>
    <xdr:from>
      <xdr:col>0</xdr:col>
      <xdr:colOff>0</xdr:colOff>
      <xdr:row>4</xdr:row>
      <xdr:rowOff>139016</xdr:rowOff>
    </xdr:from>
    <xdr:to>
      <xdr:col>2</xdr:col>
      <xdr:colOff>400050</xdr:colOff>
      <xdr:row>6</xdr:row>
      <xdr:rowOff>18366</xdr:rowOff>
    </xdr:to>
    <xdr:sp macro="" textlink="Pivots!I2">
      <xdr:nvSpPr>
        <xdr:cNvPr id="20" name="TextBox 19">
          <a:extLst>
            <a:ext uri="{FF2B5EF4-FFF2-40B4-BE49-F238E27FC236}">
              <a16:creationId xmlns:a16="http://schemas.microsoft.com/office/drawing/2014/main" id="{B94C2C96-05A9-4698-A8C3-0B4DC76AB7C4}"/>
            </a:ext>
          </a:extLst>
        </xdr:cNvPr>
        <xdr:cNvSpPr txBox="1"/>
      </xdr:nvSpPr>
      <xdr:spPr>
        <a:xfrm>
          <a:off x="0" y="860607"/>
          <a:ext cx="818573" cy="240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tx2">
                  <a:lumMod val="25000"/>
                  <a:lumOff val="75000"/>
                </a:schemeClr>
              </a:solidFill>
              <a:latin typeface="Aptos Narrow"/>
              <a:ea typeface="+mn-ea"/>
              <a:cs typeface="+mn-cs"/>
            </a:rPr>
            <a:t>👕</a:t>
          </a:r>
          <a:fld id="{B8D0AAF1-0EAC-4BB4-A932-9673DAF87DD2}" type="TxLink">
            <a:rPr lang="en-US" sz="1100" b="0" i="0" u="none" strike="noStrike">
              <a:solidFill>
                <a:schemeClr val="tx2">
                  <a:lumMod val="25000"/>
                  <a:lumOff val="75000"/>
                </a:schemeClr>
              </a:solidFill>
              <a:latin typeface="Aptos Narrow"/>
              <a:ea typeface="+mn-ea"/>
              <a:cs typeface="+mn-cs"/>
            </a:rPr>
            <a:pPr marL="0" indent="0"/>
            <a:t>Qty</a:t>
          </a:fld>
          <a:endParaRPr lang="en-IN" sz="1100" b="0" i="0" u="none" strike="noStrike">
            <a:solidFill>
              <a:schemeClr val="tx2">
                <a:lumMod val="25000"/>
                <a:lumOff val="75000"/>
              </a:schemeClr>
            </a:solidFill>
            <a:latin typeface="Aptos Narrow"/>
            <a:ea typeface="+mn-ea"/>
            <a:cs typeface="+mn-cs"/>
          </a:endParaRPr>
        </a:p>
      </xdr:txBody>
    </xdr:sp>
    <xdr:clientData/>
  </xdr:twoCellAnchor>
  <xdr:twoCellAnchor>
    <xdr:from>
      <xdr:col>0</xdr:col>
      <xdr:colOff>0</xdr:colOff>
      <xdr:row>7</xdr:row>
      <xdr:rowOff>70503</xdr:rowOff>
    </xdr:from>
    <xdr:to>
      <xdr:col>2</xdr:col>
      <xdr:colOff>450850</xdr:colOff>
      <xdr:row>8</xdr:row>
      <xdr:rowOff>140353</xdr:rowOff>
    </xdr:to>
    <xdr:sp macro="" textlink="Pivots!J2">
      <xdr:nvSpPr>
        <xdr:cNvPr id="21" name="TextBox 20">
          <a:extLst>
            <a:ext uri="{FF2B5EF4-FFF2-40B4-BE49-F238E27FC236}">
              <a16:creationId xmlns:a16="http://schemas.microsoft.com/office/drawing/2014/main" id="{D1B46902-11A0-401C-8E7B-2AE840F947CC}"/>
            </a:ext>
          </a:extLst>
        </xdr:cNvPr>
        <xdr:cNvSpPr txBox="1"/>
      </xdr:nvSpPr>
      <xdr:spPr>
        <a:xfrm>
          <a:off x="0" y="1333287"/>
          <a:ext cx="869373" cy="250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tx2">
                  <a:lumMod val="25000"/>
                  <a:lumOff val="75000"/>
                </a:schemeClr>
              </a:solidFill>
              <a:latin typeface="Aptos Narrow"/>
              <a:ea typeface="+mn-ea"/>
              <a:cs typeface="+mn-cs"/>
            </a:rPr>
            <a:t>💰</a:t>
          </a:r>
          <a:fld id="{34DCFA32-16F2-4A5F-98E9-07AADFDC74B4}" type="TxLink">
            <a:rPr lang="en-US" sz="1100" b="0" i="0" u="none" strike="noStrike">
              <a:solidFill>
                <a:schemeClr val="tx2">
                  <a:lumMod val="25000"/>
                  <a:lumOff val="75000"/>
                </a:schemeClr>
              </a:solidFill>
              <a:latin typeface="Aptos Narrow"/>
              <a:ea typeface="+mn-ea"/>
              <a:cs typeface="+mn-cs"/>
            </a:rPr>
            <a:pPr marL="0" indent="0"/>
            <a:t>Amount</a:t>
          </a:fld>
          <a:endParaRPr lang="en-IN" sz="1100" b="0" i="0" u="none" strike="noStrike">
            <a:solidFill>
              <a:schemeClr val="tx2">
                <a:lumMod val="25000"/>
                <a:lumOff val="75000"/>
              </a:schemeClr>
            </a:solidFill>
            <a:latin typeface="Aptos Narrow"/>
            <a:ea typeface="+mn-ea"/>
            <a:cs typeface="+mn-cs"/>
          </a:endParaRPr>
        </a:p>
      </xdr:txBody>
    </xdr:sp>
    <xdr:clientData/>
  </xdr:twoCellAnchor>
  <xdr:twoCellAnchor>
    <xdr:from>
      <xdr:col>0</xdr:col>
      <xdr:colOff>21647</xdr:colOff>
      <xdr:row>10</xdr:row>
      <xdr:rowOff>43844</xdr:rowOff>
    </xdr:from>
    <xdr:to>
      <xdr:col>2</xdr:col>
      <xdr:colOff>593147</xdr:colOff>
      <xdr:row>11</xdr:row>
      <xdr:rowOff>98875</xdr:rowOff>
    </xdr:to>
    <xdr:sp macro="" textlink="Pivots!K2">
      <xdr:nvSpPr>
        <xdr:cNvPr id="22" name="TextBox 21">
          <a:extLst>
            <a:ext uri="{FF2B5EF4-FFF2-40B4-BE49-F238E27FC236}">
              <a16:creationId xmlns:a16="http://schemas.microsoft.com/office/drawing/2014/main" id="{E2A90EFB-3F92-4407-9761-BCF8C63FCE5C}"/>
            </a:ext>
          </a:extLst>
        </xdr:cNvPr>
        <xdr:cNvSpPr txBox="1"/>
      </xdr:nvSpPr>
      <xdr:spPr>
        <a:xfrm>
          <a:off x="21647" y="1847821"/>
          <a:ext cx="990023" cy="2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tx2">
                  <a:lumMod val="25000"/>
                  <a:lumOff val="75000"/>
                </a:schemeClr>
              </a:solidFill>
              <a:latin typeface="Aptos Narrow"/>
              <a:ea typeface="+mn-ea"/>
              <a:cs typeface="+mn-cs"/>
            </a:rPr>
            <a:t>⭐</a:t>
          </a:r>
          <a:fld id="{0100069E-9CE6-4D83-822F-B2D9D42AEFE3}" type="TxLink">
            <a:rPr lang="en-US" sz="1100" b="0" i="0" u="none" strike="noStrike">
              <a:solidFill>
                <a:schemeClr val="tx2">
                  <a:lumMod val="25000"/>
                  <a:lumOff val="75000"/>
                </a:schemeClr>
              </a:solidFill>
              <a:latin typeface="Aptos Narrow"/>
              <a:ea typeface="+mn-ea"/>
              <a:cs typeface="+mn-cs"/>
            </a:rPr>
            <a:pPr marL="0" indent="0"/>
            <a:t>Avg.Rating</a:t>
          </a:fld>
          <a:endParaRPr lang="en-IN" sz="1100" b="0" i="0" u="none" strike="noStrike">
            <a:solidFill>
              <a:schemeClr val="tx2">
                <a:lumMod val="25000"/>
                <a:lumOff val="75000"/>
              </a:schemeClr>
            </a:solidFill>
            <a:latin typeface="Aptos Narrow"/>
            <a:ea typeface="+mn-ea"/>
            <a:cs typeface="+mn-cs"/>
          </a:endParaRPr>
        </a:p>
      </xdr:txBody>
    </xdr:sp>
    <xdr:clientData/>
  </xdr:twoCellAnchor>
  <xdr:twoCellAnchor>
    <xdr:from>
      <xdr:col>0</xdr:col>
      <xdr:colOff>50512</xdr:colOff>
      <xdr:row>12</xdr:row>
      <xdr:rowOff>134558</xdr:rowOff>
    </xdr:from>
    <xdr:to>
      <xdr:col>2</xdr:col>
      <xdr:colOff>571212</xdr:colOff>
      <xdr:row>14</xdr:row>
      <xdr:rowOff>7558</xdr:rowOff>
    </xdr:to>
    <xdr:sp macro="" textlink="Pivots!L2">
      <xdr:nvSpPr>
        <xdr:cNvPr id="23" name="TextBox 22">
          <a:extLst>
            <a:ext uri="{FF2B5EF4-FFF2-40B4-BE49-F238E27FC236}">
              <a16:creationId xmlns:a16="http://schemas.microsoft.com/office/drawing/2014/main" id="{2B5273B7-5323-4203-AB94-88908A9DCEBF}"/>
            </a:ext>
          </a:extLst>
        </xdr:cNvPr>
        <xdr:cNvSpPr txBox="1"/>
      </xdr:nvSpPr>
      <xdr:spPr>
        <a:xfrm>
          <a:off x="50512" y="2299331"/>
          <a:ext cx="939223" cy="233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tx2">
                  <a:lumMod val="25000"/>
                  <a:lumOff val="75000"/>
                </a:schemeClr>
              </a:solidFill>
              <a:latin typeface="Aptos Narrow"/>
              <a:ea typeface="+mn-ea"/>
              <a:cs typeface="+mn-cs"/>
            </a:rPr>
            <a:t>📅</a:t>
          </a:r>
          <a:fld id="{11C98990-BBF2-4584-AE13-1D998A346FA2}" type="TxLink">
            <a:rPr lang="en-US" sz="1100" b="0" i="0" u="none" strike="noStrike">
              <a:solidFill>
                <a:schemeClr val="tx2">
                  <a:lumMod val="25000"/>
                  <a:lumOff val="75000"/>
                </a:schemeClr>
              </a:solidFill>
              <a:latin typeface="Aptos Narrow"/>
              <a:ea typeface="+mn-ea"/>
              <a:cs typeface="+mn-cs"/>
            </a:rPr>
            <a:pPr marL="0" indent="0"/>
            <a:t>Avg.days</a:t>
          </a:fld>
          <a:endParaRPr lang="en-IN" sz="11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125267</xdr:colOff>
      <xdr:row>0</xdr:row>
      <xdr:rowOff>107373</xdr:rowOff>
    </xdr:from>
    <xdr:to>
      <xdr:col>9</xdr:col>
      <xdr:colOff>391337</xdr:colOff>
      <xdr:row>10</xdr:row>
      <xdr:rowOff>0</xdr:rowOff>
    </xdr:to>
    <xdr:graphicFrame macro="">
      <xdr:nvGraphicFramePr>
        <xdr:cNvPr id="24" name="Chart 23">
          <a:extLst>
            <a:ext uri="{FF2B5EF4-FFF2-40B4-BE49-F238E27FC236}">
              <a16:creationId xmlns:a16="http://schemas.microsoft.com/office/drawing/2014/main" id="{3BC715E5-11D8-47BD-9A6C-CBE15D1C3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577274</xdr:colOff>
      <xdr:row>0</xdr:row>
      <xdr:rowOff>114589</xdr:rowOff>
    </xdr:from>
    <xdr:to>
      <xdr:col>15</xdr:col>
      <xdr:colOff>115456</xdr:colOff>
      <xdr:row>15</xdr:row>
      <xdr:rowOff>93806</xdr:rowOff>
    </xdr:to>
    <xdr:sp macro="" textlink="">
      <xdr:nvSpPr>
        <xdr:cNvPr id="33" name="Rectangle 32">
          <a:extLst>
            <a:ext uri="{FF2B5EF4-FFF2-40B4-BE49-F238E27FC236}">
              <a16:creationId xmlns:a16="http://schemas.microsoft.com/office/drawing/2014/main" id="{021A72AF-1ABB-4A55-8708-2E576F8F7C81}"/>
            </a:ext>
          </a:extLst>
        </xdr:cNvPr>
        <xdr:cNvSpPr/>
      </xdr:nvSpPr>
      <xdr:spPr>
        <a:xfrm>
          <a:off x="5642842" y="114589"/>
          <a:ext cx="3521364" cy="268518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96211</xdr:colOff>
          <xdr:row>2</xdr:row>
          <xdr:rowOff>65586</xdr:rowOff>
        </xdr:from>
        <xdr:to>
          <xdr:col>14</xdr:col>
          <xdr:colOff>656166</xdr:colOff>
          <xdr:row>13</xdr:row>
          <xdr:rowOff>137745</xdr:rowOff>
        </xdr:to>
        <xdr:pic>
          <xdr:nvPicPr>
            <xdr:cNvPr id="32" name="Picture 31">
              <a:extLst>
                <a:ext uri="{FF2B5EF4-FFF2-40B4-BE49-F238E27FC236}">
                  <a16:creationId xmlns:a16="http://schemas.microsoft.com/office/drawing/2014/main" id="{32FFFC38-7AF0-4604-90E5-B6F0AE2CCE47}"/>
                </a:ext>
              </a:extLst>
            </xdr:cNvPr>
            <xdr:cNvPicPr>
              <a:picLocks noChangeAspect="1" noChangeArrowheads="1"/>
              <a:extLst>
                <a:ext uri="{84589F7E-364E-4C9E-8A38-B11213B215E9}">
                  <a14:cameraTool cellRange="Sheet3!$J$4:$N$9" spid="_x0000_s3112"/>
                </a:ext>
              </a:extLst>
            </xdr:cNvPicPr>
          </xdr:nvPicPr>
          <xdr:blipFill>
            <a:blip xmlns:r="http://schemas.openxmlformats.org/officeDocument/2006/relationships" r:embed="rId2"/>
            <a:srcRect/>
            <a:stretch>
              <a:fillRect/>
            </a:stretch>
          </xdr:blipFill>
          <xdr:spPr bwMode="auto">
            <a:xfrm>
              <a:off x="5825322" y="418364"/>
              <a:ext cx="3212844" cy="201243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279977</xdr:colOff>
      <xdr:row>0</xdr:row>
      <xdr:rowOff>84861</xdr:rowOff>
    </xdr:from>
    <xdr:to>
      <xdr:col>20</xdr:col>
      <xdr:colOff>508577</xdr:colOff>
      <xdr:row>9</xdr:row>
      <xdr:rowOff>36079</xdr:rowOff>
    </xdr:to>
    <xdr:graphicFrame macro="">
      <xdr:nvGraphicFramePr>
        <xdr:cNvPr id="34" name="Chart 33">
          <a:extLst>
            <a:ext uri="{FF2B5EF4-FFF2-40B4-BE49-F238E27FC236}">
              <a16:creationId xmlns:a16="http://schemas.microsoft.com/office/drawing/2014/main" id="{28BBBFC7-FBE7-4E4C-8428-CEB05032D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144317</xdr:colOff>
      <xdr:row>11</xdr:row>
      <xdr:rowOff>155222</xdr:rowOff>
    </xdr:from>
    <xdr:to>
      <xdr:col>9</xdr:col>
      <xdr:colOff>404090</xdr:colOff>
      <xdr:row>29</xdr:row>
      <xdr:rowOff>50510</xdr:rowOff>
    </xdr:to>
    <xdr:graphicFrame macro="">
      <xdr:nvGraphicFramePr>
        <xdr:cNvPr id="35" name="Chart 34">
          <a:extLst>
            <a:ext uri="{FF2B5EF4-FFF2-40B4-BE49-F238E27FC236}">
              <a16:creationId xmlns:a16="http://schemas.microsoft.com/office/drawing/2014/main" id="{EED5BE94-476D-48EB-B9D2-5410586AE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577274</xdr:colOff>
      <xdr:row>16</xdr:row>
      <xdr:rowOff>64943</xdr:rowOff>
    </xdr:from>
    <xdr:to>
      <xdr:col>15</xdr:col>
      <xdr:colOff>155222</xdr:colOff>
      <xdr:row>29</xdr:row>
      <xdr:rowOff>21648</xdr:rowOff>
    </xdr:to>
    <xdr:graphicFrame macro="">
      <xdr:nvGraphicFramePr>
        <xdr:cNvPr id="38" name="Chart 37">
          <a:extLst>
            <a:ext uri="{FF2B5EF4-FFF2-40B4-BE49-F238E27FC236}">
              <a16:creationId xmlns:a16="http://schemas.microsoft.com/office/drawing/2014/main" id="{238FA88F-BE77-4B5C-A141-722D1C5E0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295852</xdr:colOff>
      <xdr:row>9</xdr:row>
      <xdr:rowOff>165963</xdr:rowOff>
    </xdr:from>
    <xdr:to>
      <xdr:col>20</xdr:col>
      <xdr:colOff>522110</xdr:colOff>
      <xdr:row>19</xdr:row>
      <xdr:rowOff>57727</xdr:rowOff>
    </xdr:to>
    <xdr:graphicFrame macro="">
      <xdr:nvGraphicFramePr>
        <xdr:cNvPr id="41" name="Chart 40">
          <a:extLst>
            <a:ext uri="{FF2B5EF4-FFF2-40B4-BE49-F238E27FC236}">
              <a16:creationId xmlns:a16="http://schemas.microsoft.com/office/drawing/2014/main" id="{A9A73F23-F383-4EFA-AB49-FCD15E39F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310284</xdr:colOff>
      <xdr:row>20</xdr:row>
      <xdr:rowOff>14432</xdr:rowOff>
    </xdr:from>
    <xdr:to>
      <xdr:col>20</xdr:col>
      <xdr:colOff>490682</xdr:colOff>
      <xdr:row>29</xdr:row>
      <xdr:rowOff>43296</xdr:rowOff>
    </xdr:to>
    <xdr:graphicFrame macro="">
      <xdr:nvGraphicFramePr>
        <xdr:cNvPr id="42" name="Chart 41">
          <a:extLst>
            <a:ext uri="{FF2B5EF4-FFF2-40B4-BE49-F238E27FC236}">
              <a16:creationId xmlns:a16="http://schemas.microsoft.com/office/drawing/2014/main" id="{157C8826-8B77-460B-A9BC-CB2ECE8A5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12700</xdr:rowOff>
    </xdr:from>
    <xdr:to>
      <xdr:col>4</xdr:col>
      <xdr:colOff>3621</xdr:colOff>
      <xdr:row>2</xdr:row>
      <xdr:rowOff>72815</xdr:rowOff>
    </xdr:to>
    <xdr:pic>
      <xdr:nvPicPr>
        <xdr:cNvPr id="37" name="Picture 36">
          <a:extLst>
            <a:ext uri="{FF2B5EF4-FFF2-40B4-BE49-F238E27FC236}">
              <a16:creationId xmlns:a16="http://schemas.microsoft.com/office/drawing/2014/main" id="{9297639D-92C5-4F61-B8A7-E0AEE59B1F1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0" y="12700"/>
          <a:ext cx="1749871" cy="420910"/>
        </a:xfrm>
        <a:prstGeom prst="rect">
          <a:avLst/>
        </a:prstGeom>
      </xdr:spPr>
    </xdr:pic>
    <xdr:clientData/>
  </xdr:twoCellAnchor>
  <xdr:twoCellAnchor editAs="oneCell">
    <xdr:from>
      <xdr:col>0</xdr:col>
      <xdr:colOff>79375</xdr:colOff>
      <xdr:row>15</xdr:row>
      <xdr:rowOff>120936</xdr:rowOff>
    </xdr:from>
    <xdr:to>
      <xdr:col>3</xdr:col>
      <xdr:colOff>526762</xdr:colOff>
      <xdr:row>23</xdr:row>
      <xdr:rowOff>93806</xdr:rowOff>
    </xdr:to>
    <mc:AlternateContent xmlns:mc="http://schemas.openxmlformats.org/markup-compatibility/2006" xmlns:a14="http://schemas.microsoft.com/office/drawing/2010/main">
      <mc:Choice Requires="a14">
        <xdr:graphicFrame macro="">
          <xdr:nvGraphicFramePr>
            <xdr:cNvPr id="43" name="Order Mode 1">
              <a:extLst>
                <a:ext uri="{FF2B5EF4-FFF2-40B4-BE49-F238E27FC236}">
                  <a16:creationId xmlns:a16="http://schemas.microsoft.com/office/drawing/2014/main" id="{C216D5B0-DB99-46E8-BACF-1C5D358A4DB4}"/>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79375" y="2826902"/>
              <a:ext cx="1529773" cy="1416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64943</xdr:colOff>
      <xdr:row>23</xdr:row>
      <xdr:rowOff>173181</xdr:rowOff>
    </xdr:from>
    <xdr:to>
      <xdr:col>3</xdr:col>
      <xdr:colOff>519546</xdr:colOff>
      <xdr:row>29</xdr:row>
      <xdr:rowOff>7216</xdr:rowOff>
    </xdr:to>
    <mc:AlternateContent xmlns:mc="http://schemas.openxmlformats.org/markup-compatibility/2006" xmlns:a14="http://schemas.microsoft.com/office/drawing/2010/main">
      <mc:Choice Requires="a14">
        <xdr:graphicFrame macro="">
          <xdr:nvGraphicFramePr>
            <xdr:cNvPr id="44" name="Customer Gender 1">
              <a:extLst>
                <a:ext uri="{FF2B5EF4-FFF2-40B4-BE49-F238E27FC236}">
                  <a16:creationId xmlns:a16="http://schemas.microsoft.com/office/drawing/2014/main" id="{E32E05F0-DCFD-4049-9FFE-AD66D02F398A}"/>
                </a:ext>
              </a:extLst>
            </xdr:cNvPr>
            <xdr:cNvGraphicFramePr/>
          </xdr:nvGraphicFramePr>
          <xdr:xfrm>
            <a:off x="0" y="0"/>
            <a:ext cx="0" cy="0"/>
          </xdr:xfrm>
          <a:graphic>
            <a:graphicData uri="http://schemas.microsoft.com/office/drawing/2010/slicer">
              <sle:slicer xmlns:sle="http://schemas.microsoft.com/office/drawing/2010/slicer" name="Customer Gender 1"/>
            </a:graphicData>
          </a:graphic>
        </xdr:graphicFrame>
      </mc:Choice>
      <mc:Fallback xmlns="">
        <xdr:sp macro="" textlink="">
          <xdr:nvSpPr>
            <xdr:cNvPr id="0" name=""/>
            <xdr:cNvSpPr>
              <a:spLocks noTextEdit="1"/>
            </xdr:cNvSpPr>
          </xdr:nvSpPr>
          <xdr:spPr>
            <a:xfrm>
              <a:off x="64943" y="4322329"/>
              <a:ext cx="1536989" cy="916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383244</xdr:colOff>
      <xdr:row>29</xdr:row>
      <xdr:rowOff>38485</xdr:rowOff>
    </xdr:from>
    <xdr:to>
      <xdr:col>32</xdr:col>
      <xdr:colOff>308198</xdr:colOff>
      <xdr:row>44</xdr:row>
      <xdr:rowOff>75719</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91671210-344A-4E97-A554-2E6ACA33B1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5991544" y="5194685"/>
              <a:ext cx="4547754" cy="27042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324556</xdr:colOff>
      <xdr:row>1</xdr:row>
      <xdr:rowOff>49389</xdr:rowOff>
    </xdr:from>
    <xdr:to>
      <xdr:col>14</xdr:col>
      <xdr:colOff>493889</xdr:colOff>
      <xdr:row>2</xdr:row>
      <xdr:rowOff>91722</xdr:rowOff>
    </xdr:to>
    <xdr:sp macro="" textlink="">
      <xdr:nvSpPr>
        <xdr:cNvPr id="9" name="TextBox 8">
          <a:extLst>
            <a:ext uri="{FF2B5EF4-FFF2-40B4-BE49-F238E27FC236}">
              <a16:creationId xmlns:a16="http://schemas.microsoft.com/office/drawing/2014/main" id="{9DE6428D-0468-441E-8670-D5D05DAE07DE}"/>
            </a:ext>
          </a:extLst>
        </xdr:cNvPr>
        <xdr:cNvSpPr txBox="1"/>
      </xdr:nvSpPr>
      <xdr:spPr>
        <a:xfrm>
          <a:off x="6053667" y="225778"/>
          <a:ext cx="2822222" cy="218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How they like to buy?</a:t>
          </a:r>
        </a:p>
      </xdr:txBody>
    </xdr:sp>
    <xdr:clientData/>
  </xdr:twoCellAnchor>
  <xdr:twoCellAnchor>
    <xdr:from>
      <xdr:col>4</xdr:col>
      <xdr:colOff>155058</xdr:colOff>
      <xdr:row>10</xdr:row>
      <xdr:rowOff>130609</xdr:rowOff>
    </xdr:from>
    <xdr:to>
      <xdr:col>9</xdr:col>
      <xdr:colOff>406104</xdr:colOff>
      <xdr:row>12</xdr:row>
      <xdr:rowOff>14767</xdr:rowOff>
    </xdr:to>
    <xdr:sp macro="" textlink="">
      <xdr:nvSpPr>
        <xdr:cNvPr id="10" name="TextBox 9">
          <a:extLst>
            <a:ext uri="{FF2B5EF4-FFF2-40B4-BE49-F238E27FC236}">
              <a16:creationId xmlns:a16="http://schemas.microsoft.com/office/drawing/2014/main" id="{1E1BF673-274E-47EB-BDD5-3B0C74F6D25B}"/>
            </a:ext>
          </a:extLst>
        </xdr:cNvPr>
        <xdr:cNvSpPr txBox="1"/>
      </xdr:nvSpPr>
      <xdr:spPr>
        <a:xfrm>
          <a:off x="1882849" y="1902702"/>
          <a:ext cx="3536802" cy="238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Which products are popular?</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0.74429</cdr:x>
      <cdr:y>0.05407</cdr:y>
    </cdr:from>
    <cdr:to>
      <cdr:x>1</cdr:x>
      <cdr:y>0.0885</cdr:y>
    </cdr:to>
    <cdr:sp macro="" textlink="">
      <cdr:nvSpPr>
        <cdr:cNvPr id="2" name="TextBox 1">
          <a:extLst xmlns:a="http://schemas.openxmlformats.org/drawingml/2006/main">
            <a:ext uri="{FF2B5EF4-FFF2-40B4-BE49-F238E27FC236}">
              <a16:creationId xmlns:a16="http://schemas.microsoft.com/office/drawing/2014/main" id="{74DC5CE2-DCE3-43D8-849A-A042AB1F3C8B}"/>
            </a:ext>
          </a:extLst>
        </cdr:cNvPr>
        <cdr:cNvSpPr txBox="1"/>
      </cdr:nvSpPr>
      <cdr:spPr>
        <a:xfrm xmlns:a="http://schemas.openxmlformats.org/drawingml/2006/main">
          <a:off x="2661484" y="188417"/>
          <a:ext cx="914400" cy="11994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187853</xdr:colOff>
      <xdr:row>8</xdr:row>
      <xdr:rowOff>26459</xdr:rowOff>
    </xdr:from>
    <xdr:to>
      <xdr:col>10</xdr:col>
      <xdr:colOff>440972</xdr:colOff>
      <xdr:row>22</xdr:row>
      <xdr:rowOff>176</xdr:rowOff>
    </xdr:to>
    <xdr:graphicFrame macro="">
      <xdr:nvGraphicFramePr>
        <xdr:cNvPr id="2" name="Chart 1">
          <a:extLst>
            <a:ext uri="{FF2B5EF4-FFF2-40B4-BE49-F238E27FC236}">
              <a16:creationId xmlns:a16="http://schemas.microsoft.com/office/drawing/2014/main" id="{76472366-189E-4210-927B-EFBC7F878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2293</xdr:colOff>
      <xdr:row>23</xdr:row>
      <xdr:rowOff>17639</xdr:rowOff>
    </xdr:from>
    <xdr:to>
      <xdr:col>9</xdr:col>
      <xdr:colOff>176388</xdr:colOff>
      <xdr:row>34</xdr:row>
      <xdr:rowOff>105834</xdr:rowOff>
    </xdr:to>
    <xdr:graphicFrame macro="">
      <xdr:nvGraphicFramePr>
        <xdr:cNvPr id="3" name="Chart 2">
          <a:extLst>
            <a:ext uri="{FF2B5EF4-FFF2-40B4-BE49-F238E27FC236}">
              <a16:creationId xmlns:a16="http://schemas.microsoft.com/office/drawing/2014/main" id="{D9C2AF4F-A17A-4AD2-81A2-406CD8C32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381881</xdr:colOff>
      <xdr:row>44</xdr:row>
      <xdr:rowOff>61559</xdr:rowOff>
    </xdr:from>
    <xdr:to>
      <xdr:col>13</xdr:col>
      <xdr:colOff>209020</xdr:colOff>
      <xdr:row>59</xdr:row>
      <xdr:rowOff>158926</xdr:rowOff>
    </xdr:to>
    <xdr:graphicFrame macro="">
      <xdr:nvGraphicFramePr>
        <xdr:cNvPr id="5" name="Chart 4">
          <a:extLst>
            <a:ext uri="{FF2B5EF4-FFF2-40B4-BE49-F238E27FC236}">
              <a16:creationId xmlns:a16="http://schemas.microsoft.com/office/drawing/2014/main" id="{0394370A-8A43-4388-BA53-26230F224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373063</xdr:colOff>
      <xdr:row>60</xdr:row>
      <xdr:rowOff>140936</xdr:rowOff>
    </xdr:from>
    <xdr:to>
      <xdr:col>13</xdr:col>
      <xdr:colOff>200202</xdr:colOff>
      <xdr:row>74</xdr:row>
      <xdr:rowOff>123473</xdr:rowOff>
    </xdr:to>
    <xdr:graphicFrame macro="">
      <xdr:nvGraphicFramePr>
        <xdr:cNvPr id="6" name="Chart 5">
          <a:extLst>
            <a:ext uri="{FF2B5EF4-FFF2-40B4-BE49-F238E27FC236}">
              <a16:creationId xmlns:a16="http://schemas.microsoft.com/office/drawing/2014/main" id="{4DF09973-AE72-469C-9534-94C755F76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346605</xdr:colOff>
      <xdr:row>79</xdr:row>
      <xdr:rowOff>140934</xdr:rowOff>
    </xdr:from>
    <xdr:to>
      <xdr:col>10</xdr:col>
      <xdr:colOff>1196800</xdr:colOff>
      <xdr:row>95</xdr:row>
      <xdr:rowOff>61912</xdr:rowOff>
    </xdr:to>
    <xdr:graphicFrame macro="">
      <xdr:nvGraphicFramePr>
        <xdr:cNvPr id="9" name="Chart 8">
          <a:extLst>
            <a:ext uri="{FF2B5EF4-FFF2-40B4-BE49-F238E27FC236}">
              <a16:creationId xmlns:a16="http://schemas.microsoft.com/office/drawing/2014/main" id="{273474A0-78E9-4447-A93E-29859E0C4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1325562</xdr:colOff>
      <xdr:row>103</xdr:row>
      <xdr:rowOff>70379</xdr:rowOff>
    </xdr:from>
    <xdr:to>
      <xdr:col>14</xdr:col>
      <xdr:colOff>1249714</xdr:colOff>
      <xdr:row>118</xdr:row>
      <xdr:rowOff>167746</xdr:rowOff>
    </xdr:to>
    <xdr:graphicFrame macro="">
      <xdr:nvGraphicFramePr>
        <xdr:cNvPr id="10" name="Chart 9">
          <a:extLst>
            <a:ext uri="{FF2B5EF4-FFF2-40B4-BE49-F238E27FC236}">
              <a16:creationId xmlns:a16="http://schemas.microsoft.com/office/drawing/2014/main" id="{8F5425DA-D2D5-46E0-9F1A-F1C941524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578202</xdr:colOff>
      <xdr:row>121</xdr:row>
      <xdr:rowOff>59268</xdr:rowOff>
    </xdr:from>
    <xdr:to>
      <xdr:col>8</xdr:col>
      <xdr:colOff>617360</xdr:colOff>
      <xdr:row>130</xdr:row>
      <xdr:rowOff>141112</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90FB78D2-5A81-4939-A44C-7F0EF6629EA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437716" y="21402324"/>
              <a:ext cx="1362075" cy="1669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366536</xdr:colOff>
      <xdr:row>122</xdr:row>
      <xdr:rowOff>23988</xdr:rowOff>
    </xdr:from>
    <xdr:to>
      <xdr:col>9</xdr:col>
      <xdr:colOff>1508125</xdr:colOff>
      <xdr:row>127</xdr:row>
      <xdr:rowOff>79374</xdr:rowOff>
    </xdr:to>
    <mc:AlternateContent xmlns:mc="http://schemas.openxmlformats.org/markup-compatibility/2006" xmlns:a14="http://schemas.microsoft.com/office/drawing/2010/main">
      <mc:Choice Requires="a14">
        <xdr:graphicFrame macro="">
          <xdr:nvGraphicFramePr>
            <xdr:cNvPr id="11" name="Customer Gender">
              <a:extLst>
                <a:ext uri="{FF2B5EF4-FFF2-40B4-BE49-F238E27FC236}">
                  <a16:creationId xmlns:a16="http://schemas.microsoft.com/office/drawing/2014/main" id="{C4A0B471-5CF4-47AD-BC6C-7769F3841EA6}"/>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7748411" y="21543432"/>
              <a:ext cx="1141589" cy="937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0.825740972221" createdVersion="6" refreshedVersion="6" minRefreshableVersion="3" recordCount="2400" xr:uid="{928FDFA2-158A-4E61-900E-E0BB2B21F7B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012142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DA135-6B33-4CA3-B50C-A9575458D8DF}"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42:F64"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Col"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showAll="0">
      <items count="8">
        <item x="0"/>
        <item x="1"/>
        <item x="2"/>
        <item x="4"/>
        <item x="3"/>
        <item n="6 To 10" sd="0" x="5"/>
        <item n="More than10" x="6"/>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0"/>
    </i>
    <i>
      <x v="4"/>
    </i>
    <i>
      <x v="12"/>
    </i>
    <i>
      <x v="5"/>
    </i>
    <i>
      <x v="11"/>
    </i>
    <i>
      <x v="14"/>
    </i>
    <i>
      <x v="1"/>
    </i>
    <i>
      <x v="17"/>
    </i>
    <i>
      <x v="9"/>
    </i>
    <i>
      <x v="2"/>
    </i>
    <i>
      <x v="3"/>
    </i>
    <i>
      <x v="19"/>
    </i>
    <i>
      <x v="8"/>
    </i>
    <i>
      <x v="15"/>
    </i>
    <i>
      <x/>
    </i>
    <i>
      <x v="7"/>
    </i>
    <i t="grand">
      <x/>
    </i>
  </rowItems>
  <colFields count="1">
    <field x="7"/>
  </colFields>
  <colItems count="5">
    <i>
      <x/>
    </i>
    <i>
      <x v="1"/>
    </i>
    <i>
      <x v="2"/>
    </i>
    <i>
      <x v="3"/>
    </i>
    <i t="grand">
      <x/>
    </i>
  </colItems>
  <dataFields count="1">
    <dataField name="Sum of Quantity" fld="2" baseField="0" baseItem="0"/>
  </dataFields>
  <chartFormats count="8">
    <chartFormat chart="28" format="0" series="1">
      <pivotArea type="data" outline="0" fieldPosition="0">
        <references count="2">
          <reference field="4294967294" count="1" selected="0">
            <x v="0"/>
          </reference>
          <reference field="7" count="1" selected="0">
            <x v="0"/>
          </reference>
        </references>
      </pivotArea>
    </chartFormat>
    <chartFormat chart="28" format="1" series="1">
      <pivotArea type="data" outline="0" fieldPosition="0">
        <references count="2">
          <reference field="4294967294" count="1" selected="0">
            <x v="0"/>
          </reference>
          <reference field="7" count="1" selected="0">
            <x v="1"/>
          </reference>
        </references>
      </pivotArea>
    </chartFormat>
    <chartFormat chart="28" format="2" series="1">
      <pivotArea type="data" outline="0" fieldPosition="0">
        <references count="2">
          <reference field="4294967294" count="1" selected="0">
            <x v="0"/>
          </reference>
          <reference field="7" count="1" selected="0">
            <x v="2"/>
          </reference>
        </references>
      </pivotArea>
    </chartFormat>
    <chartFormat chart="28" format="3" series="1">
      <pivotArea type="data" outline="0" fieldPosition="0">
        <references count="2">
          <reference field="4294967294" count="1" selected="0">
            <x v="0"/>
          </reference>
          <reference field="7" count="1" selected="0">
            <x v="3"/>
          </reference>
        </references>
      </pivotArea>
    </chartFormat>
    <chartFormat chart="30" format="8" series="1">
      <pivotArea type="data" outline="0" fieldPosition="0">
        <references count="2">
          <reference field="4294967294" count="1" selected="0">
            <x v="0"/>
          </reference>
          <reference field="7" count="1" selected="0">
            <x v="0"/>
          </reference>
        </references>
      </pivotArea>
    </chartFormat>
    <chartFormat chart="30" format="9" series="1">
      <pivotArea type="data" outline="0" fieldPosition="0">
        <references count="2">
          <reference field="4294967294" count="1" selected="0">
            <x v="0"/>
          </reference>
          <reference field="7" count="1" selected="0">
            <x v="1"/>
          </reference>
        </references>
      </pivotArea>
    </chartFormat>
    <chartFormat chart="30" format="10" series="1">
      <pivotArea type="data" outline="0" fieldPosition="0">
        <references count="2">
          <reference field="4294967294" count="1" selected="0">
            <x v="0"/>
          </reference>
          <reference field="7" count="1" selected="0">
            <x v="2"/>
          </reference>
        </references>
      </pivotArea>
    </chartFormat>
    <chartFormat chart="30"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D420B-8B6A-47EA-BA82-39E177FDE42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8:C22"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h="1" x="0"/>
        <item x="2"/>
        <item h="1" x="1"/>
        <item h="1" x="3"/>
        <item t="default"/>
      </items>
    </pivotField>
    <pivotField showAll="0">
      <items count="6">
        <item h="1" x="0"/>
        <item h="1" x="3"/>
        <item h="1" x="4"/>
        <item h="1"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formats count="2">
    <format dxfId="12">
      <pivotArea collapsedLevelsAreSubtotals="1" fieldPosition="0">
        <references count="2">
          <reference field="4294967294" count="1" selected="0">
            <x v="1"/>
          </reference>
          <reference field="13" count="1">
            <x v="2"/>
          </reference>
        </references>
      </pivotArea>
    </format>
    <format dxfId="13">
      <pivotArea dataOnly="0"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49033F-D0B2-4238-B391-2B4C56C95AD5}"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7:B35"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h="1" x="0"/>
        <item x="2"/>
        <item h="1" x="1"/>
        <item h="1"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axis="axisRow" showAll="0">
      <items count="8">
        <item x="0"/>
        <item x="1"/>
        <item x="2"/>
        <item x="4"/>
        <item x="3"/>
        <item n="6 To 10" sd="0" x="5"/>
        <item n="More than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6EE4EB-3660-4FD1-A711-0CAACAF577F3}"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81:B95"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h="1" x="0"/>
        <item x="2"/>
        <item h="1" x="1"/>
        <item h="1" x="3"/>
        <item t="default"/>
      </items>
    </pivotField>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items count="8">
        <item x="0"/>
        <item x="1"/>
        <item x="2"/>
        <item x="4"/>
        <item x="3"/>
        <item n="6 To 10" sd="0" x="5"/>
        <item n="More than10" x="6"/>
        <item t="default"/>
      </items>
    </pivotField>
    <pivotField showAll="0">
      <items count="15">
        <item x="0"/>
        <item x="1"/>
        <item x="2"/>
        <item x="3"/>
        <item x="4"/>
        <item x="5"/>
        <item x="6"/>
        <item x="7"/>
        <item x="8"/>
        <item x="9"/>
        <item x="10"/>
        <item x="11"/>
        <item x="12"/>
        <item x="13"/>
        <item t="default"/>
      </items>
    </pivotField>
  </pivotFields>
  <rowFields count="1">
    <field x="12"/>
  </rowFields>
  <rowItems count="14">
    <i>
      <x/>
    </i>
    <i>
      <x v="1"/>
    </i>
    <i>
      <x v="2"/>
    </i>
    <i>
      <x v="3"/>
    </i>
    <i>
      <x v="4"/>
    </i>
    <i>
      <x v="5"/>
    </i>
    <i>
      <x v="6"/>
    </i>
    <i>
      <x v="7"/>
    </i>
    <i>
      <x v="8"/>
    </i>
    <i>
      <x v="9"/>
    </i>
    <i>
      <x v="11"/>
    </i>
    <i>
      <x v="13"/>
    </i>
    <i>
      <x v="14"/>
    </i>
    <i t="grand">
      <x/>
    </i>
  </rowItems>
  <colItems count="1">
    <i/>
  </colItems>
  <dataFields count="1">
    <dataField name="Count of TX ID" fld="0" subtotal="count"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8E424B-F2D3-426A-B2F8-3A1C364526F4}"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A97687-4F4E-4B0C-8012-BB678AF74574}"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108:G113"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h="1" x="0"/>
        <item x="2"/>
        <item h="1" x="1"/>
        <item h="1" x="3"/>
        <item t="default"/>
      </items>
    </pivotField>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pivotField showAll="0"/>
    <pivotField showAll="0"/>
    <pivotField showAll="0">
      <items count="8">
        <item x="0"/>
        <item x="1"/>
        <item x="2"/>
        <item x="4"/>
        <item x="3"/>
        <item n="6 To 10" sd="0" x="5"/>
        <item n="More than10"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7">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2">
          <reference field="4294967294" count="1" selected="0">
            <x v="0"/>
          </reference>
          <reference field="9" count="1" selected="0">
            <x v="0"/>
          </reference>
        </references>
      </pivotArea>
    </chartFormat>
    <chartFormat chart="16" format="1" series="1">
      <pivotArea type="data" outline="0" fieldPosition="0">
        <references count="2">
          <reference field="4294967294" count="1" selected="0">
            <x v="0"/>
          </reference>
          <reference field="9" count="1" selected="0">
            <x v="1"/>
          </reference>
        </references>
      </pivotArea>
    </chartFormat>
    <chartFormat chart="16" format="2" series="1">
      <pivotArea type="data" outline="0" fieldPosition="0">
        <references count="2">
          <reference field="4294967294" count="1" selected="0">
            <x v="0"/>
          </reference>
          <reference field="9" count="1" selected="0">
            <x v="2"/>
          </reference>
        </references>
      </pivotArea>
    </chartFormat>
    <chartFormat chart="16" format="3" series="1">
      <pivotArea type="data" outline="0" fieldPosition="0">
        <references count="2">
          <reference field="4294967294" count="1" selected="0">
            <x v="0"/>
          </reference>
          <reference field="9" count="1" selected="0">
            <x v="3"/>
          </reference>
        </references>
      </pivotArea>
    </chartFormat>
    <chartFormat chart="16" format="4" series="1">
      <pivotArea type="data" outline="0" fieldPosition="0">
        <references count="2">
          <reference field="4294967294" count="1" selected="0">
            <x v="0"/>
          </reference>
          <reference field="9" count="1" selected="0">
            <x v="4"/>
          </reference>
        </references>
      </pivotArea>
    </chartFormat>
    <chartFormat chart="17" format="5" series="1">
      <pivotArea type="data" outline="0" fieldPosition="0">
        <references count="2">
          <reference field="4294967294" count="1" selected="0">
            <x v="0"/>
          </reference>
          <reference field="9" count="1" selected="0">
            <x v="0"/>
          </reference>
        </references>
      </pivotArea>
    </chartFormat>
    <chartFormat chart="17" format="6" series="1">
      <pivotArea type="data" outline="0" fieldPosition="0">
        <references count="2">
          <reference field="4294967294" count="1" selected="0">
            <x v="0"/>
          </reference>
          <reference field="9" count="1" selected="0">
            <x v="1"/>
          </reference>
        </references>
      </pivotArea>
    </chartFormat>
    <chartFormat chart="17" format="7" series="1">
      <pivotArea type="data" outline="0" fieldPosition="0">
        <references count="2">
          <reference field="4294967294" count="1" selected="0">
            <x v="0"/>
          </reference>
          <reference field="9" count="1" selected="0">
            <x v="2"/>
          </reference>
        </references>
      </pivotArea>
    </chartFormat>
    <chartFormat chart="17" format="8" series="1">
      <pivotArea type="data" outline="0" fieldPosition="0">
        <references count="2">
          <reference field="4294967294" count="1" selected="0">
            <x v="0"/>
          </reference>
          <reference field="9" count="1" selected="0">
            <x v="3"/>
          </reference>
        </references>
      </pivotArea>
    </chartFormat>
    <chartFormat chart="17" format="9" series="1">
      <pivotArea type="data" outline="0" fieldPosition="0">
        <references count="2">
          <reference field="4294967294" count="1" selected="0">
            <x v="0"/>
          </reference>
          <reference field="9" count="1" selected="0">
            <x v="4"/>
          </reference>
        </references>
      </pivotArea>
    </chartFormat>
    <chartFormat chart="18" format="10" series="1">
      <pivotArea type="data" outline="0" fieldPosition="0">
        <references count="2">
          <reference field="4294967294" count="1" selected="0">
            <x v="0"/>
          </reference>
          <reference field="9" count="1" selected="0">
            <x v="0"/>
          </reference>
        </references>
      </pivotArea>
    </chartFormat>
    <chartFormat chart="18" format="11" series="1">
      <pivotArea type="data" outline="0" fieldPosition="0">
        <references count="2">
          <reference field="4294967294" count="1" selected="0">
            <x v="0"/>
          </reference>
          <reference field="9" count="1" selected="0">
            <x v="1"/>
          </reference>
        </references>
      </pivotArea>
    </chartFormat>
    <chartFormat chart="18" format="12" series="1">
      <pivotArea type="data" outline="0" fieldPosition="0">
        <references count="2">
          <reference field="4294967294" count="1" selected="0">
            <x v="0"/>
          </reference>
          <reference field="9" count="1" selected="0">
            <x v="2"/>
          </reference>
        </references>
      </pivotArea>
    </chartFormat>
    <chartFormat chart="18" format="13" series="1">
      <pivotArea type="data" outline="0" fieldPosition="0">
        <references count="2">
          <reference field="4294967294" count="1" selected="0">
            <x v="0"/>
          </reference>
          <reference field="9" count="1" selected="0">
            <x v="3"/>
          </reference>
        </references>
      </pivotArea>
    </chartFormat>
    <chartFormat chart="18"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2B0CC5-51FD-40AA-AFA0-EFEDB5957ACD}"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0">
  <location ref="A68:B73" firstHeaderRow="1" firstDataRow="1" firstDataCol="1"/>
  <pivotFields count="17">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Row"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showAll="0">
      <items count="8">
        <item x="0"/>
        <item x="1"/>
        <item x="2"/>
        <item x="4"/>
        <item x="3"/>
        <item n="6 To 10" sd="0" x="5"/>
        <item n="More than10" x="6"/>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22">
    <chartFormat chart="24" format="0" series="1">
      <pivotArea type="data" outline="0" fieldPosition="0">
        <references count="2">
          <reference field="4294967294" count="1" selected="0">
            <x v="0"/>
          </reference>
          <reference field="7" count="1" selected="0">
            <x v="0"/>
          </reference>
        </references>
      </pivotArea>
    </chartFormat>
    <chartFormat chart="24" format="1" series="1">
      <pivotArea type="data" outline="0" fieldPosition="0">
        <references count="2">
          <reference field="4294967294" count="1" selected="0">
            <x v="0"/>
          </reference>
          <reference field="7" count="1" selected="0">
            <x v="1"/>
          </reference>
        </references>
      </pivotArea>
    </chartFormat>
    <chartFormat chart="24" format="2" series="1">
      <pivotArea type="data" outline="0" fieldPosition="0">
        <references count="2">
          <reference field="4294967294" count="1" selected="0">
            <x v="0"/>
          </reference>
          <reference field="7" count="1" selected="0">
            <x v="2"/>
          </reference>
        </references>
      </pivotArea>
    </chartFormat>
    <chartFormat chart="24" format="3" series="1">
      <pivotArea type="data" outline="0" fieldPosition="0">
        <references count="2">
          <reference field="4294967294" count="1" selected="0">
            <x v="0"/>
          </reference>
          <reference field="7" count="1" selected="0">
            <x v="3"/>
          </reference>
        </references>
      </pivotArea>
    </chartFormat>
    <chartFormat chart="28" format="0" series="1">
      <pivotArea type="data" outline="0" fieldPosition="0">
        <references count="2">
          <reference field="4294967294" count="1" selected="0">
            <x v="0"/>
          </reference>
          <reference field="7" count="1" selected="0">
            <x v="0"/>
          </reference>
        </references>
      </pivotArea>
    </chartFormat>
    <chartFormat chart="28" format="1" series="1">
      <pivotArea type="data" outline="0" fieldPosition="0">
        <references count="2">
          <reference field="4294967294" count="1" selected="0">
            <x v="0"/>
          </reference>
          <reference field="7" count="1" selected="0">
            <x v="1"/>
          </reference>
        </references>
      </pivotArea>
    </chartFormat>
    <chartFormat chart="28" format="2" series="1">
      <pivotArea type="data" outline="0" fieldPosition="0">
        <references count="2">
          <reference field="4294967294" count="1" selected="0">
            <x v="0"/>
          </reference>
          <reference field="7" count="1" selected="0">
            <x v="2"/>
          </reference>
        </references>
      </pivotArea>
    </chartFormat>
    <chartFormat chart="28" format="3" series="1">
      <pivotArea type="data" outline="0" fieldPosition="0">
        <references count="2">
          <reference field="4294967294" count="1" selected="0">
            <x v="0"/>
          </reference>
          <reference field="7" count="1" selected="0">
            <x v="3"/>
          </reference>
        </references>
      </pivotArea>
    </chartFormat>
    <chartFormat chart="30" format="8" series="1">
      <pivotArea type="data" outline="0" fieldPosition="0">
        <references count="2">
          <reference field="4294967294" count="1" selected="0">
            <x v="0"/>
          </reference>
          <reference field="7" count="1" selected="0">
            <x v="0"/>
          </reference>
        </references>
      </pivotArea>
    </chartFormat>
    <chartFormat chart="30" format="9" series="1">
      <pivotArea type="data" outline="0" fieldPosition="0">
        <references count="2">
          <reference field="4294967294" count="1" selected="0">
            <x v="0"/>
          </reference>
          <reference field="7" count="1" selected="0">
            <x v="1"/>
          </reference>
        </references>
      </pivotArea>
    </chartFormat>
    <chartFormat chart="30" format="10" series="1">
      <pivotArea type="data" outline="0" fieldPosition="0">
        <references count="2">
          <reference field="4294967294" count="1" selected="0">
            <x v="0"/>
          </reference>
          <reference field="7" count="1" selected="0">
            <x v="2"/>
          </reference>
        </references>
      </pivotArea>
    </chartFormat>
    <chartFormat chart="30" format="11" series="1">
      <pivotArea type="data" outline="0" fieldPosition="0">
        <references count="2">
          <reference field="4294967294" count="1" selected="0">
            <x v="0"/>
          </reference>
          <reference field="7" count="1" selected="0">
            <x v="3"/>
          </reference>
        </references>
      </pivotArea>
    </chartFormat>
    <chartFormat chart="33" format="0"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7" count="1" selected="0">
            <x v="0"/>
          </reference>
        </references>
      </pivotArea>
    </chartFormat>
    <chartFormat chart="39" format="8">
      <pivotArea type="data" outline="0" fieldPosition="0">
        <references count="2">
          <reference field="4294967294" count="1" selected="0">
            <x v="0"/>
          </reference>
          <reference field="7" count="1" selected="0">
            <x v="1"/>
          </reference>
        </references>
      </pivotArea>
    </chartFormat>
    <chartFormat chart="39" format="9">
      <pivotArea type="data" outline="0" fieldPosition="0">
        <references count="2">
          <reference field="4294967294" count="1" selected="0">
            <x v="0"/>
          </reference>
          <reference field="7" count="1" selected="0">
            <x v="2"/>
          </reference>
        </references>
      </pivotArea>
    </chartFormat>
    <chartFormat chart="39" format="10">
      <pivotArea type="data" outline="0" fieldPosition="0">
        <references count="2">
          <reference field="4294967294" count="1" selected="0">
            <x v="0"/>
          </reference>
          <reference field="7" count="1" selected="0">
            <x v="3"/>
          </reference>
        </references>
      </pivotArea>
    </chartFormat>
    <chartFormat chart="33" format="1">
      <pivotArea type="data" outline="0" fieldPosition="0">
        <references count="2">
          <reference field="4294967294" count="1" selected="0">
            <x v="0"/>
          </reference>
          <reference field="7" count="1" selected="0">
            <x v="0"/>
          </reference>
        </references>
      </pivotArea>
    </chartFormat>
    <chartFormat chart="33" format="2">
      <pivotArea type="data" outline="0" fieldPosition="0">
        <references count="2">
          <reference field="4294967294" count="1" selected="0">
            <x v="0"/>
          </reference>
          <reference field="7" count="1" selected="0">
            <x v="1"/>
          </reference>
        </references>
      </pivotArea>
    </chartFormat>
    <chartFormat chart="33" format="3">
      <pivotArea type="data" outline="0" fieldPosition="0">
        <references count="2">
          <reference field="4294967294" count="1" selected="0">
            <x v="0"/>
          </reference>
          <reference field="7" count="1" selected="0">
            <x v="2"/>
          </reference>
        </references>
      </pivotArea>
    </chartFormat>
    <chartFormat chart="33"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501B2A-686C-4C74-A0F0-F2995BBD89B9}"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Col"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7"/>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D888A73-2F23-4CE8-9CEF-7D16EC64CD0D}" sourceName="Order Mode">
  <pivotTables>
    <pivotTable tabId="5" name="PivotTable9"/>
    <pivotTable tabId="5" name="PivotTable2"/>
    <pivotTable tabId="5" name="PivotTable4"/>
    <pivotTable tabId="5" name="PivotTable8"/>
    <pivotTable tabId="5" name="PivotTable5"/>
    <pivotTable tabId="5" name="PivotTable6"/>
  </pivotTables>
  <data>
    <tabular pivotCacheId="1012142930">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066754BA-A45B-4755-9EB9-72848C4DA233}" sourceName="Customer Gender">
  <pivotTables>
    <pivotTable tabId="5" name="PivotTable9"/>
    <pivotTable tabId="5" name="PivotTable2"/>
    <pivotTable tabId="5" name="PivotTable4"/>
    <pivotTable tabId="5" name="PivotTable8"/>
  </pivotTables>
  <data>
    <tabular pivotCacheId="1012142930">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74BA86E2-58B6-479B-8800-E101A0737C02}" cache="Slicer_Order_Mode" caption="Order Mode" rowHeight="180000"/>
  <slicer name="Customer Gender 1" xr10:uid="{F56E1CFB-9288-49EE-96A0-02841A66B530}" cache="Slicer_Customer_Gender" caption="Customer Gender"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787B065-9960-4087-B7B6-0CFBF3741354}" cache="Slicer_Order_Mode" caption="Order Mode" rowHeight="230716"/>
  <slicer name="Customer Gender" xr10:uid="{21CBB1E3-4E3A-43D5-BC0A-AF4B525B5AE4}" cache="Slicer_Customer_Gender" caption="Customer Gender"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18"/>
    <tableColumn id="7" xr3:uid="{43BB5DBF-46E1-4185-80C0-4361F55A385C}" name="Ship Date" dataDxfId="1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16">
      <calculatedColumnFormula>orders[[#This Row],[Ship Date]]-orders[[#This Row],[Order Date]]</calculatedColumnFormula>
    </tableColumn>
    <tableColumn id="12" xr3:uid="{B071C0DA-87A9-4516-B4D9-4F5B7D3FF44A}" name="Weeknum" dataDxfId="15">
      <calculatedColumnFormula>WEEKNUM(orders[[#This Row],[Order Date]])</calculatedColumnFormula>
    </tableColumn>
    <tableColumn id="13" xr3:uid="{B8EA9E28-7541-4E76-9935-C26438661A18}" name="Gender Value" dataDxfId="14">
      <calculatedColumnFormula>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71C4-60BD-4AD1-AFA1-4D03B66B4BA4}">
  <dimension ref="A1"/>
  <sheetViews>
    <sheetView showGridLines="0" tabSelected="1" zoomScale="91" workbookViewId="0">
      <selection activeCell="E35" sqref="E35"/>
    </sheetView>
  </sheetViews>
  <sheetFormatPr defaultRowHeight="14"/>
  <cols>
    <col min="1" max="2" width="2.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566A3-D56A-4206-A7EF-6ACA99AF350F}">
  <dimension ref="A1:P143"/>
  <sheetViews>
    <sheetView topLeftCell="A75" zoomScale="72" workbookViewId="0">
      <selection activeCell="M35" sqref="M35"/>
    </sheetView>
  </sheetViews>
  <sheetFormatPr defaultRowHeight="14"/>
  <cols>
    <col min="1" max="1" width="14.33203125" bestFit="1" customWidth="1"/>
    <col min="2" max="2" width="14" bestFit="1" customWidth="1"/>
    <col min="3" max="3" width="14.75" bestFit="1" customWidth="1"/>
    <col min="4" max="4" width="3.08203125" bestFit="1" customWidth="1"/>
    <col min="5" max="5" width="4.1640625" bestFit="1" customWidth="1"/>
    <col min="6" max="6" width="3.08203125" bestFit="1" customWidth="1"/>
    <col min="7" max="7" width="11.33203125" bestFit="1" customWidth="1"/>
    <col min="8" max="8" width="17.33203125" bestFit="1" customWidth="1"/>
    <col min="9" max="9" width="15.75" bestFit="1" customWidth="1"/>
    <col min="10" max="10" width="19.9140625" bestFit="1" customWidth="1"/>
    <col min="11" max="11" width="19.1640625" bestFit="1" customWidth="1"/>
    <col min="12" max="12" width="22.1640625" bestFit="1" customWidth="1"/>
    <col min="13" max="13" width="17.25" bestFit="1" customWidth="1"/>
    <col min="14" max="14" width="18.33203125" bestFit="1" customWidth="1"/>
    <col min="15" max="15" width="17.33203125" bestFit="1" customWidth="1"/>
    <col min="16" max="16" width="19.75" bestFit="1" customWidth="1"/>
    <col min="17" max="17" width="20.25" bestFit="1" customWidth="1"/>
    <col min="18" max="31" width="6.9140625" bestFit="1" customWidth="1"/>
    <col min="32" max="32" width="9.08203125" bestFit="1" customWidth="1"/>
    <col min="33" max="60" width="7" bestFit="1" customWidth="1"/>
    <col min="61" max="61" width="9.25" bestFit="1" customWidth="1"/>
    <col min="62" max="90" width="6.9140625" bestFit="1" customWidth="1"/>
    <col min="91" max="91" width="9.08203125" bestFit="1" customWidth="1"/>
    <col min="92" max="92" width="11.33203125" bestFit="1" customWidth="1"/>
  </cols>
  <sheetData>
    <row r="1" spans="1:13">
      <c r="H1" t="s">
        <v>2539</v>
      </c>
    </row>
    <row r="2" spans="1:13">
      <c r="H2" t="s">
        <v>2524</v>
      </c>
      <c r="I2" t="s">
        <v>2540</v>
      </c>
      <c r="J2" t="s">
        <v>4</v>
      </c>
      <c r="K2" t="s">
        <v>2541</v>
      </c>
      <c r="L2" t="s">
        <v>2542</v>
      </c>
    </row>
    <row r="3" spans="1:13">
      <c r="A3" t="s">
        <v>2534</v>
      </c>
      <c r="B3" t="s">
        <v>2535</v>
      </c>
      <c r="C3" t="s">
        <v>2536</v>
      </c>
      <c r="D3" t="s">
        <v>2537</v>
      </c>
      <c r="E3" t="s">
        <v>2538</v>
      </c>
      <c r="H3" t="str">
        <f>TEXT(A4,"#,##")</f>
        <v>2,400</v>
      </c>
      <c r="I3" t="str">
        <f>TEXT(B4,"#,##")</f>
        <v>11,997</v>
      </c>
      <c r="J3" t="str">
        <f>TEXT(C4,"$#,##,.0k")</f>
        <v>$649.0k</v>
      </c>
      <c r="K3" t="str">
        <f>TEXT(D4,"0.0")</f>
        <v>4.0</v>
      </c>
      <c r="L3" t="str">
        <f>TEXT(E4,"0.0")</f>
        <v>2.3</v>
      </c>
      <c r="M3" t="str">
        <f t="shared" ref="M3" si="0">TEXT(F4,"#,##")</f>
        <v/>
      </c>
    </row>
    <row r="4" spans="1:13">
      <c r="A4" s="7">
        <v>2400</v>
      </c>
      <c r="B4" s="7">
        <v>11997</v>
      </c>
      <c r="C4" s="7">
        <v>649019.80000000144</v>
      </c>
      <c r="D4" s="7">
        <v>3.9620833333333332</v>
      </c>
      <c r="E4" s="7">
        <v>2.3424999999999998</v>
      </c>
    </row>
    <row r="8" spans="1:13">
      <c r="A8" s="9" t="s">
        <v>2543</v>
      </c>
      <c r="B8" t="s">
        <v>2535</v>
      </c>
      <c r="C8" s="11" t="s">
        <v>2536</v>
      </c>
      <c r="F8" s="9"/>
      <c r="G8" s="9"/>
      <c r="H8" s="9"/>
      <c r="I8" s="9"/>
      <c r="J8" s="9"/>
      <c r="K8" s="9"/>
      <c r="L8" s="9"/>
      <c r="M8" s="9"/>
    </row>
    <row r="9" spans="1:13">
      <c r="A9" s="10">
        <v>1</v>
      </c>
      <c r="B9" s="7">
        <v>46</v>
      </c>
      <c r="C9" s="11">
        <v>2464.5</v>
      </c>
    </row>
    <row r="10" spans="1:13">
      <c r="A10" s="10">
        <v>2</v>
      </c>
      <c r="B10" s="7">
        <v>123</v>
      </c>
      <c r="C10" s="11">
        <v>6640.8999999999987</v>
      </c>
    </row>
    <row r="11" spans="1:13">
      <c r="A11" s="10">
        <v>3</v>
      </c>
      <c r="B11" s="7">
        <v>166</v>
      </c>
      <c r="C11" s="11">
        <v>11586.4</v>
      </c>
    </row>
    <row r="12" spans="1:13">
      <c r="A12" s="10">
        <v>4</v>
      </c>
      <c r="B12" s="7">
        <v>106</v>
      </c>
      <c r="C12" s="11">
        <v>6299.0000000000009</v>
      </c>
    </row>
    <row r="13" spans="1:13">
      <c r="A13" s="10">
        <v>5</v>
      </c>
      <c r="B13" s="7">
        <v>66</v>
      </c>
      <c r="C13" s="11">
        <v>3651.5</v>
      </c>
    </row>
    <row r="14" spans="1:13">
      <c r="A14" s="10">
        <v>6</v>
      </c>
      <c r="B14" s="7">
        <v>103</v>
      </c>
      <c r="C14" s="11">
        <v>6947.5999999999995</v>
      </c>
    </row>
    <row r="15" spans="1:13">
      <c r="A15" s="10">
        <v>7</v>
      </c>
      <c r="B15" s="7">
        <v>98</v>
      </c>
      <c r="C15" s="11">
        <v>5445.5</v>
      </c>
    </row>
    <row r="16" spans="1:13">
      <c r="A16" s="10">
        <v>8</v>
      </c>
      <c r="B16" s="7">
        <v>100</v>
      </c>
      <c r="C16" s="11">
        <v>6602.9</v>
      </c>
    </row>
    <row r="17" spans="1:3">
      <c r="A17" s="10">
        <v>9</v>
      </c>
      <c r="B17" s="7">
        <v>82</v>
      </c>
      <c r="C17" s="11">
        <v>5227.3999999999996</v>
      </c>
    </row>
    <row r="18" spans="1:3">
      <c r="A18" s="10">
        <v>10</v>
      </c>
      <c r="B18" s="7">
        <v>105</v>
      </c>
      <c r="C18" s="11">
        <v>7823.9000000000015</v>
      </c>
    </row>
    <row r="19" spans="1:3">
      <c r="A19" s="10">
        <v>11</v>
      </c>
      <c r="B19" s="7">
        <v>89</v>
      </c>
      <c r="C19" s="11">
        <v>5548.7</v>
      </c>
    </row>
    <row r="20" spans="1:3">
      <c r="A20" s="10">
        <v>12</v>
      </c>
      <c r="B20" s="7">
        <v>123</v>
      </c>
      <c r="C20" s="11">
        <v>6268.2000000000007</v>
      </c>
    </row>
    <row r="21" spans="1:3">
      <c r="A21" s="10">
        <v>13</v>
      </c>
      <c r="B21" s="7">
        <v>105</v>
      </c>
      <c r="C21" s="11">
        <v>6764.4000000000005</v>
      </c>
    </row>
    <row r="22" spans="1:3">
      <c r="A22" s="10" t="s">
        <v>2544</v>
      </c>
      <c r="B22" s="7">
        <v>1312</v>
      </c>
      <c r="C22" s="11">
        <v>81270.899999999994</v>
      </c>
    </row>
    <row r="27" spans="1:3">
      <c r="A27" s="9" t="s">
        <v>2543</v>
      </c>
      <c r="B27" t="s">
        <v>2534</v>
      </c>
    </row>
    <row r="28" spans="1:3">
      <c r="A28" s="10">
        <v>1</v>
      </c>
      <c r="B28" s="7">
        <v>42</v>
      </c>
    </row>
    <row r="29" spans="1:3">
      <c r="A29" s="10">
        <v>2</v>
      </c>
      <c r="B29" s="7">
        <v>71</v>
      </c>
    </row>
    <row r="30" spans="1:3">
      <c r="A30" s="10">
        <v>3</v>
      </c>
      <c r="B30" s="7">
        <v>54</v>
      </c>
    </row>
    <row r="31" spans="1:3">
      <c r="A31" s="10">
        <v>4</v>
      </c>
      <c r="B31" s="7">
        <v>33</v>
      </c>
    </row>
    <row r="32" spans="1:3">
      <c r="A32" s="10">
        <v>5</v>
      </c>
      <c r="B32" s="7">
        <v>22</v>
      </c>
    </row>
    <row r="33" spans="1:6">
      <c r="A33" s="10" t="s">
        <v>2548</v>
      </c>
      <c r="B33" s="7">
        <v>48</v>
      </c>
    </row>
    <row r="34" spans="1:6">
      <c r="A34" s="10" t="s">
        <v>2549</v>
      </c>
      <c r="B34" s="7">
        <v>21</v>
      </c>
    </row>
    <row r="35" spans="1:6">
      <c r="A35" s="10" t="s">
        <v>2544</v>
      </c>
      <c r="B35" s="7">
        <v>291</v>
      </c>
    </row>
    <row r="42" spans="1:6">
      <c r="A42" s="9" t="s">
        <v>2535</v>
      </c>
      <c r="B42" s="9" t="s">
        <v>2545</v>
      </c>
    </row>
    <row r="43" spans="1:6">
      <c r="A43" s="9" t="s">
        <v>2543</v>
      </c>
      <c r="C43" t="s">
        <v>27</v>
      </c>
      <c r="D43" t="s">
        <v>23</v>
      </c>
      <c r="E43" t="s">
        <v>89</v>
      </c>
      <c r="F43" t="s">
        <v>2544</v>
      </c>
    </row>
    <row r="44" spans="1:6">
      <c r="A44" s="10" t="s">
        <v>44</v>
      </c>
      <c r="B44" s="7">
        <v>10</v>
      </c>
      <c r="C44" s="7">
        <v>157</v>
      </c>
      <c r="D44" s="7">
        <v>220</v>
      </c>
      <c r="E44" s="7">
        <v>12</v>
      </c>
      <c r="F44" s="7">
        <v>399</v>
      </c>
    </row>
    <row r="45" spans="1:6">
      <c r="A45" s="10" t="s">
        <v>39</v>
      </c>
      <c r="B45" s="7">
        <v>12</v>
      </c>
      <c r="C45" s="7">
        <v>175</v>
      </c>
      <c r="D45" s="7">
        <v>187</v>
      </c>
      <c r="E45" s="7">
        <v>8</v>
      </c>
      <c r="F45" s="7">
        <v>382</v>
      </c>
    </row>
    <row r="46" spans="1:6">
      <c r="A46" s="10" t="s">
        <v>26</v>
      </c>
      <c r="B46" s="7">
        <v>27</v>
      </c>
      <c r="C46" s="7">
        <v>177</v>
      </c>
      <c r="D46" s="7">
        <v>80</v>
      </c>
      <c r="E46" s="7"/>
      <c r="F46" s="7">
        <v>284</v>
      </c>
    </row>
    <row r="47" spans="1:6">
      <c r="A47" s="10" t="s">
        <v>22</v>
      </c>
      <c r="B47" s="7"/>
      <c r="C47" s="7">
        <v>146</v>
      </c>
      <c r="D47" s="7">
        <v>98</v>
      </c>
      <c r="E47" s="7">
        <v>6</v>
      </c>
      <c r="F47" s="7">
        <v>250</v>
      </c>
    </row>
    <row r="48" spans="1:6">
      <c r="A48" s="10" t="s">
        <v>135</v>
      </c>
      <c r="B48" s="7"/>
      <c r="C48" s="7">
        <v>42</v>
      </c>
      <c r="D48" s="7">
        <v>82</v>
      </c>
      <c r="E48" s="7">
        <v>13</v>
      </c>
      <c r="F48" s="7">
        <v>137</v>
      </c>
    </row>
    <row r="49" spans="1:6">
      <c r="A49" s="10" t="s">
        <v>32</v>
      </c>
      <c r="B49" s="7">
        <v>6</v>
      </c>
      <c r="C49" s="7">
        <v>72</v>
      </c>
      <c r="D49" s="7">
        <v>52</v>
      </c>
      <c r="E49" s="7"/>
      <c r="F49" s="7">
        <v>130</v>
      </c>
    </row>
    <row r="50" spans="1:6">
      <c r="A50" s="10" t="s">
        <v>16</v>
      </c>
      <c r="B50" s="7">
        <v>10</v>
      </c>
      <c r="C50" s="7">
        <v>68</v>
      </c>
      <c r="D50" s="7">
        <v>48</v>
      </c>
      <c r="E50" s="7"/>
      <c r="F50" s="7">
        <v>126</v>
      </c>
    </row>
    <row r="51" spans="1:6">
      <c r="A51" s="10" t="s">
        <v>42</v>
      </c>
      <c r="B51" s="7"/>
      <c r="C51" s="7">
        <v>55</v>
      </c>
      <c r="D51" s="7">
        <v>54</v>
      </c>
      <c r="E51" s="7">
        <v>5</v>
      </c>
      <c r="F51" s="7">
        <v>114</v>
      </c>
    </row>
    <row r="52" spans="1:6">
      <c r="A52" s="10" t="s">
        <v>37</v>
      </c>
      <c r="B52" s="7">
        <v>3</v>
      </c>
      <c r="C52" s="7">
        <v>53</v>
      </c>
      <c r="D52" s="7">
        <v>45</v>
      </c>
      <c r="E52" s="7">
        <v>6</v>
      </c>
      <c r="F52" s="7">
        <v>107</v>
      </c>
    </row>
    <row r="53" spans="1:6">
      <c r="A53" s="10" t="s">
        <v>46</v>
      </c>
      <c r="B53" s="7">
        <v>17</v>
      </c>
      <c r="C53" s="7">
        <v>57</v>
      </c>
      <c r="D53" s="7">
        <v>31</v>
      </c>
      <c r="E53" s="7"/>
      <c r="F53" s="7">
        <v>105</v>
      </c>
    </row>
    <row r="54" spans="1:6">
      <c r="A54" s="10" t="s">
        <v>54</v>
      </c>
      <c r="B54" s="7">
        <v>4</v>
      </c>
      <c r="C54" s="7">
        <v>57</v>
      </c>
      <c r="D54" s="7">
        <v>41</v>
      </c>
      <c r="E54" s="7"/>
      <c r="F54" s="7">
        <v>102</v>
      </c>
    </row>
    <row r="55" spans="1:6">
      <c r="A55" s="10" t="s">
        <v>76</v>
      </c>
      <c r="B55" s="7">
        <v>6</v>
      </c>
      <c r="C55" s="7">
        <v>34</v>
      </c>
      <c r="D55" s="7">
        <v>50</v>
      </c>
      <c r="E55" s="7"/>
      <c r="F55" s="7">
        <v>90</v>
      </c>
    </row>
    <row r="56" spans="1:6">
      <c r="A56" s="10" t="s">
        <v>67</v>
      </c>
      <c r="B56" s="7"/>
      <c r="C56" s="7">
        <v>53</v>
      </c>
      <c r="D56" s="7">
        <v>34</v>
      </c>
      <c r="E56" s="7"/>
      <c r="F56" s="7">
        <v>87</v>
      </c>
    </row>
    <row r="57" spans="1:6">
      <c r="A57" s="10" t="s">
        <v>69</v>
      </c>
      <c r="B57" s="7">
        <v>10</v>
      </c>
      <c r="C57" s="7">
        <v>42</v>
      </c>
      <c r="D57" s="7">
        <v>29</v>
      </c>
      <c r="E57" s="7">
        <v>4</v>
      </c>
      <c r="F57" s="7">
        <v>85</v>
      </c>
    </row>
    <row r="58" spans="1:6">
      <c r="A58" s="10" t="s">
        <v>123</v>
      </c>
      <c r="B58" s="7">
        <v>2</v>
      </c>
      <c r="C58" s="7">
        <v>31</v>
      </c>
      <c r="D58" s="7">
        <v>26</v>
      </c>
      <c r="E58" s="7">
        <v>15</v>
      </c>
      <c r="F58" s="7">
        <v>74</v>
      </c>
    </row>
    <row r="59" spans="1:6">
      <c r="A59" s="10" t="s">
        <v>30</v>
      </c>
      <c r="B59" s="7">
        <v>7</v>
      </c>
      <c r="C59" s="7">
        <v>44</v>
      </c>
      <c r="D59" s="7">
        <v>14</v>
      </c>
      <c r="E59" s="7"/>
      <c r="F59" s="7">
        <v>65</v>
      </c>
    </row>
    <row r="60" spans="1:6">
      <c r="A60" s="10" t="s">
        <v>146</v>
      </c>
      <c r="B60" s="7">
        <v>5</v>
      </c>
      <c r="C60" s="7">
        <v>11</v>
      </c>
      <c r="D60" s="7">
        <v>20</v>
      </c>
      <c r="E60" s="7">
        <v>3</v>
      </c>
      <c r="F60" s="7">
        <v>39</v>
      </c>
    </row>
    <row r="61" spans="1:6">
      <c r="A61" s="10" t="s">
        <v>128</v>
      </c>
      <c r="B61" s="7">
        <v>15</v>
      </c>
      <c r="C61" s="7">
        <v>13</v>
      </c>
      <c r="D61" s="7">
        <v>9</v>
      </c>
      <c r="E61" s="7"/>
      <c r="F61" s="7">
        <v>37</v>
      </c>
    </row>
    <row r="62" spans="1:6">
      <c r="A62" s="10" t="s">
        <v>81</v>
      </c>
      <c r="B62" s="7"/>
      <c r="C62" s="7">
        <v>16</v>
      </c>
      <c r="D62" s="7">
        <v>16</v>
      </c>
      <c r="E62" s="7"/>
      <c r="F62" s="7">
        <v>32</v>
      </c>
    </row>
    <row r="63" spans="1:6">
      <c r="A63" s="10" t="s">
        <v>171</v>
      </c>
      <c r="B63" s="7"/>
      <c r="C63" s="7">
        <v>9</v>
      </c>
      <c r="D63" s="7">
        <v>12</v>
      </c>
      <c r="E63" s="7"/>
      <c r="F63" s="7">
        <v>21</v>
      </c>
    </row>
    <row r="64" spans="1:6">
      <c r="A64" s="10" t="s">
        <v>2544</v>
      </c>
      <c r="B64" s="7">
        <v>134</v>
      </c>
      <c r="C64" s="7">
        <v>1312</v>
      </c>
      <c r="D64" s="7">
        <v>1148</v>
      </c>
      <c r="E64" s="7">
        <v>72</v>
      </c>
      <c r="F64" s="7">
        <v>2666</v>
      </c>
    </row>
    <row r="68" spans="1:2">
      <c r="A68" s="9" t="s">
        <v>2543</v>
      </c>
      <c r="B68" t="s">
        <v>2535</v>
      </c>
    </row>
    <row r="69" spans="1:2">
      <c r="A69" s="10"/>
      <c r="B69" s="7">
        <v>134</v>
      </c>
    </row>
    <row r="70" spans="1:2">
      <c r="A70" s="10" t="s">
        <v>27</v>
      </c>
      <c r="B70" s="7">
        <v>1312</v>
      </c>
    </row>
    <row r="71" spans="1:2">
      <c r="A71" s="10" t="s">
        <v>23</v>
      </c>
      <c r="B71" s="7">
        <v>1148</v>
      </c>
    </row>
    <row r="72" spans="1:2">
      <c r="A72" s="10" t="s">
        <v>89</v>
      </c>
      <c r="B72" s="7">
        <v>72</v>
      </c>
    </row>
    <row r="73" spans="1:2">
      <c r="A73" s="10" t="s">
        <v>2544</v>
      </c>
      <c r="B73" s="7">
        <v>2666</v>
      </c>
    </row>
    <row r="81" spans="1:15">
      <c r="A81" s="9" t="s">
        <v>2543</v>
      </c>
      <c r="B81" t="s">
        <v>2534</v>
      </c>
    </row>
    <row r="82" spans="1:15">
      <c r="A82" s="10">
        <v>0</v>
      </c>
      <c r="B82" s="7">
        <v>25</v>
      </c>
    </row>
    <row r="83" spans="1:15">
      <c r="A83" s="10">
        <v>1</v>
      </c>
      <c r="B83" s="7">
        <v>99</v>
      </c>
    </row>
    <row r="84" spans="1:15">
      <c r="A84" s="10">
        <v>2</v>
      </c>
      <c r="B84" s="7">
        <v>80</v>
      </c>
      <c r="H84" s="8"/>
      <c r="I84" s="8"/>
      <c r="J84" s="8"/>
      <c r="M84" s="8"/>
      <c r="N84" s="8"/>
      <c r="O84" s="8"/>
    </row>
    <row r="85" spans="1:15">
      <c r="A85" s="10">
        <v>3</v>
      </c>
      <c r="B85" s="7">
        <v>40</v>
      </c>
      <c r="H85" s="8"/>
      <c r="I85" s="8"/>
      <c r="J85" s="8"/>
      <c r="M85" s="8"/>
      <c r="N85" s="8"/>
      <c r="O85" s="8"/>
    </row>
    <row r="86" spans="1:15">
      <c r="A86" s="10">
        <v>4</v>
      </c>
      <c r="B86" s="7">
        <v>23</v>
      </c>
      <c r="H86" s="8"/>
      <c r="I86" s="8"/>
      <c r="J86" s="8"/>
      <c r="M86" s="8"/>
      <c r="N86" s="8"/>
      <c r="O86" s="8"/>
    </row>
    <row r="87" spans="1:15">
      <c r="A87" s="10">
        <v>5</v>
      </c>
      <c r="B87" s="7">
        <v>9</v>
      </c>
      <c r="H87" s="8"/>
      <c r="I87" s="8"/>
      <c r="J87" s="8"/>
      <c r="M87" s="8"/>
      <c r="N87" s="8"/>
      <c r="O87" s="8"/>
    </row>
    <row r="88" spans="1:15">
      <c r="A88" s="10">
        <v>6</v>
      </c>
      <c r="B88" s="7">
        <v>3</v>
      </c>
      <c r="H88" s="8"/>
      <c r="I88" s="8"/>
      <c r="J88" s="8"/>
      <c r="M88" s="8"/>
      <c r="N88" s="8"/>
      <c r="O88" s="8"/>
    </row>
    <row r="89" spans="1:15">
      <c r="A89" s="10">
        <v>7</v>
      </c>
      <c r="B89" s="7">
        <v>5</v>
      </c>
      <c r="H89" s="8"/>
      <c r="I89" s="8"/>
      <c r="J89" s="8"/>
      <c r="M89" s="8"/>
      <c r="N89" s="8"/>
      <c r="O89" s="8"/>
    </row>
    <row r="90" spans="1:15">
      <c r="A90" s="10">
        <v>8</v>
      </c>
      <c r="B90" s="7">
        <v>1</v>
      </c>
      <c r="H90" s="8"/>
      <c r="I90" s="8"/>
      <c r="J90" s="8"/>
      <c r="M90" s="8"/>
      <c r="N90" s="8"/>
      <c r="O90" s="8"/>
    </row>
    <row r="91" spans="1:15">
      <c r="A91" s="10">
        <v>9</v>
      </c>
      <c r="B91" s="7">
        <v>2</v>
      </c>
      <c r="H91" s="8"/>
      <c r="I91" s="8"/>
      <c r="J91" s="8"/>
      <c r="M91" s="8"/>
      <c r="N91" s="8"/>
      <c r="O91" s="8"/>
    </row>
    <row r="92" spans="1:15">
      <c r="A92" s="10">
        <v>11</v>
      </c>
      <c r="B92" s="7">
        <v>1</v>
      </c>
      <c r="H92" s="8"/>
      <c r="I92" s="8"/>
      <c r="J92" s="8"/>
      <c r="M92" s="8"/>
      <c r="N92" s="8"/>
      <c r="O92" s="8"/>
    </row>
    <row r="93" spans="1:15">
      <c r="A93" s="10">
        <v>13</v>
      </c>
      <c r="B93" s="7">
        <v>2</v>
      </c>
      <c r="H93" s="8"/>
      <c r="I93" s="8"/>
      <c r="J93" s="8"/>
      <c r="M93" s="8"/>
      <c r="N93" s="8"/>
      <c r="O93" s="8"/>
    </row>
    <row r="94" spans="1:15">
      <c r="A94" s="10">
        <v>14</v>
      </c>
      <c r="B94" s="7">
        <v>1</v>
      </c>
      <c r="H94" s="8"/>
      <c r="I94" s="8"/>
      <c r="J94" s="8"/>
      <c r="M94" s="8"/>
      <c r="N94" s="8"/>
      <c r="O94" s="8"/>
    </row>
    <row r="95" spans="1:15">
      <c r="A95" s="10" t="s">
        <v>2544</v>
      </c>
      <c r="B95" s="7">
        <v>291</v>
      </c>
      <c r="H95" s="8"/>
      <c r="I95" s="8"/>
      <c r="J95" s="8"/>
      <c r="M95" s="8"/>
      <c r="N95" s="8"/>
      <c r="O95" s="8"/>
    </row>
    <row r="96" spans="1:15">
      <c r="H96" s="8"/>
      <c r="I96" s="8"/>
      <c r="J96" s="8"/>
      <c r="M96" s="8"/>
      <c r="N96" s="8"/>
      <c r="O96" s="8"/>
    </row>
    <row r="97" spans="1:16">
      <c r="H97" s="8"/>
      <c r="I97" s="8"/>
      <c r="J97" s="8"/>
      <c r="M97" s="8"/>
      <c r="N97" s="8"/>
      <c r="O97" s="8"/>
    </row>
    <row r="98" spans="1:16">
      <c r="H98" s="8"/>
      <c r="I98" s="8"/>
      <c r="J98" s="8"/>
      <c r="M98" s="8"/>
      <c r="N98" s="8"/>
      <c r="O98" s="8"/>
    </row>
    <row r="99" spans="1:16">
      <c r="H99" s="8"/>
      <c r="I99" s="8"/>
      <c r="J99" s="8"/>
      <c r="M99" s="8"/>
      <c r="N99" s="8"/>
      <c r="O99" s="8"/>
    </row>
    <row r="100" spans="1:16">
      <c r="H100" s="8"/>
      <c r="I100" s="8"/>
      <c r="J100" s="8"/>
      <c r="M100" s="8"/>
      <c r="N100" s="8"/>
      <c r="O100" s="8"/>
    </row>
    <row r="101" spans="1:16">
      <c r="H101" s="8"/>
      <c r="I101" s="8"/>
      <c r="J101" s="8"/>
      <c r="M101" s="8"/>
      <c r="N101" s="8"/>
      <c r="O101" s="8"/>
    </row>
    <row r="102" spans="1:16">
      <c r="H102" s="8"/>
      <c r="I102" s="8"/>
      <c r="J102" s="8"/>
      <c r="M102" s="8"/>
      <c r="N102" s="8"/>
      <c r="O102" s="8"/>
    </row>
    <row r="103" spans="1:16">
      <c r="H103" s="8"/>
      <c r="I103" s="8"/>
      <c r="J103" s="8"/>
      <c r="M103" s="8"/>
      <c r="N103" s="8"/>
      <c r="O103" s="8"/>
    </row>
    <row r="104" spans="1:16">
      <c r="H104" s="8"/>
      <c r="I104" s="8"/>
      <c r="J104" s="8"/>
      <c r="M104" s="17"/>
    </row>
    <row r="105" spans="1:16">
      <c r="H105" s="17"/>
      <c r="J105" s="7"/>
      <c r="M105" s="17"/>
    </row>
    <row r="106" spans="1:16">
      <c r="H106" s="17"/>
      <c r="J106" s="7"/>
      <c r="M106" s="17"/>
    </row>
    <row r="107" spans="1:16">
      <c r="H107" s="17"/>
      <c r="J107" s="7"/>
      <c r="M107" s="17"/>
    </row>
    <row r="108" spans="1:16">
      <c r="A108" s="9" t="s">
        <v>2534</v>
      </c>
      <c r="B108" s="9" t="s">
        <v>2545</v>
      </c>
      <c r="H108" s="17"/>
      <c r="I108" s="17"/>
      <c r="J108" s="17"/>
      <c r="M108" s="17"/>
    </row>
    <row r="109" spans="1:16">
      <c r="A109" s="9" t="s">
        <v>2543</v>
      </c>
      <c r="B109">
        <v>1</v>
      </c>
      <c r="C109">
        <v>2</v>
      </c>
      <c r="D109">
        <v>3</v>
      </c>
      <c r="E109">
        <v>4</v>
      </c>
      <c r="F109">
        <v>5</v>
      </c>
      <c r="G109" t="s">
        <v>2544</v>
      </c>
      <c r="H109" s="17"/>
      <c r="I109" s="17"/>
      <c r="J109" s="17"/>
      <c r="L109" s="9"/>
      <c r="M109" s="21"/>
      <c r="N109" s="9"/>
      <c r="O109" s="9"/>
      <c r="P109" s="9"/>
    </row>
    <row r="110" spans="1:16">
      <c r="A110" s="10" t="s">
        <v>2550</v>
      </c>
      <c r="B110" s="7"/>
      <c r="C110" s="7">
        <v>5</v>
      </c>
      <c r="D110" s="7">
        <v>23</v>
      </c>
      <c r="E110" s="7">
        <v>41</v>
      </c>
      <c r="F110" s="7">
        <v>34</v>
      </c>
      <c r="G110" s="7">
        <v>103</v>
      </c>
      <c r="H110" s="17"/>
      <c r="I110" s="17"/>
      <c r="J110" s="17"/>
      <c r="M110" s="17"/>
    </row>
    <row r="111" spans="1:16">
      <c r="A111" s="10" t="s">
        <v>2551</v>
      </c>
      <c r="B111" s="7"/>
      <c r="C111" s="7">
        <v>11</v>
      </c>
      <c r="D111" s="7">
        <v>20</v>
      </c>
      <c r="E111" s="7">
        <v>38</v>
      </c>
      <c r="F111" s="7">
        <v>26</v>
      </c>
      <c r="G111" s="7">
        <v>95</v>
      </c>
      <c r="H111" s="17"/>
      <c r="I111" s="17"/>
      <c r="J111" s="17"/>
      <c r="M111" s="17"/>
    </row>
    <row r="112" spans="1:16">
      <c r="A112" s="10" t="s">
        <v>2552</v>
      </c>
      <c r="B112" s="7">
        <v>1</v>
      </c>
      <c r="C112" s="7">
        <v>4</v>
      </c>
      <c r="D112" s="7">
        <v>15</v>
      </c>
      <c r="E112" s="7">
        <v>36</v>
      </c>
      <c r="F112" s="7">
        <v>37</v>
      </c>
      <c r="G112" s="7">
        <v>93</v>
      </c>
      <c r="H112" s="17"/>
      <c r="I112" s="17"/>
      <c r="J112" s="17"/>
      <c r="M112" s="17"/>
    </row>
    <row r="113" spans="1:13">
      <c r="A113" s="10" t="s">
        <v>2544</v>
      </c>
      <c r="B113" s="7">
        <v>1</v>
      </c>
      <c r="C113" s="7">
        <v>20</v>
      </c>
      <c r="D113" s="7">
        <v>58</v>
      </c>
      <c r="E113" s="7">
        <v>115</v>
      </c>
      <c r="F113" s="7">
        <v>97</v>
      </c>
      <c r="G113" s="7">
        <v>291</v>
      </c>
      <c r="H113" s="17"/>
      <c r="I113" s="17"/>
      <c r="J113" s="17"/>
      <c r="M113" s="17"/>
    </row>
    <row r="114" spans="1:13">
      <c r="H114" s="17"/>
      <c r="I114" s="17"/>
      <c r="J114" s="17"/>
      <c r="M114" s="17"/>
    </row>
    <row r="115" spans="1:13">
      <c r="H115" s="17"/>
      <c r="I115" s="17"/>
      <c r="J115" s="17"/>
      <c r="M115" s="17"/>
    </row>
    <row r="116" spans="1:13">
      <c r="H116" s="17"/>
      <c r="I116" s="17"/>
      <c r="J116" s="17"/>
      <c r="M116" s="17"/>
    </row>
    <row r="117" spans="1:13">
      <c r="H117" s="17"/>
      <c r="I117" s="17"/>
      <c r="J117" s="17"/>
      <c r="M117" s="17"/>
    </row>
    <row r="118" spans="1:13">
      <c r="H118" s="17"/>
      <c r="I118" s="17"/>
      <c r="J118" s="17"/>
      <c r="M118" s="17"/>
    </row>
    <row r="119" spans="1:13">
      <c r="H119" s="17"/>
      <c r="I119" s="17"/>
      <c r="J119" s="17"/>
      <c r="M119" s="17"/>
    </row>
    <row r="120" spans="1:13">
      <c r="H120" s="17"/>
      <c r="I120" s="17"/>
      <c r="J120" s="17"/>
      <c r="M120" s="17"/>
    </row>
    <row r="121" spans="1:13">
      <c r="H121" s="17"/>
      <c r="I121" s="17"/>
      <c r="J121" s="17"/>
      <c r="M121" s="17"/>
    </row>
    <row r="122" spans="1:13">
      <c r="H122" s="17"/>
      <c r="I122" s="17"/>
      <c r="J122" s="17"/>
      <c r="M122" s="17"/>
    </row>
    <row r="123" spans="1:13">
      <c r="H123" s="17"/>
      <c r="I123" s="17"/>
      <c r="J123" s="17"/>
      <c r="M123" s="17"/>
    </row>
    <row r="124" spans="1:13">
      <c r="H124" s="17"/>
      <c r="I124" s="17"/>
      <c r="J124" s="17"/>
      <c r="M124" s="17"/>
    </row>
    <row r="125" spans="1:13">
      <c r="H125" s="17"/>
      <c r="I125" s="17"/>
      <c r="J125" s="17"/>
      <c r="M125" s="17"/>
    </row>
    <row r="126" spans="1:13">
      <c r="H126" s="17"/>
      <c r="I126" s="17"/>
      <c r="J126" s="17"/>
      <c r="M126" s="17"/>
    </row>
    <row r="127" spans="1:13">
      <c r="H127" s="17"/>
      <c r="I127" s="17"/>
      <c r="J127" s="17"/>
      <c r="M127" s="17"/>
    </row>
    <row r="128" spans="1:13">
      <c r="H128" s="17"/>
      <c r="I128" s="17"/>
      <c r="J128" s="17"/>
      <c r="M128" s="17"/>
    </row>
    <row r="129" spans="8:14">
      <c r="H129" s="17"/>
      <c r="J129" s="7"/>
      <c r="M129" s="17"/>
    </row>
    <row r="130" spans="8:14">
      <c r="H130" s="17"/>
      <c r="J130" s="7"/>
      <c r="M130" s="17"/>
    </row>
    <row r="131" spans="8:14">
      <c r="H131" s="17"/>
      <c r="J131" s="7"/>
      <c r="M131" s="17"/>
    </row>
    <row r="132" spans="8:14">
      <c r="H132" s="17"/>
      <c r="J132" s="7"/>
      <c r="M132" s="17"/>
    </row>
    <row r="133" spans="8:14">
      <c r="H133" s="17"/>
      <c r="J133" s="7"/>
      <c r="M133" s="17"/>
    </row>
    <row r="134" spans="8:14">
      <c r="H134" s="17"/>
      <c r="J134" s="7"/>
      <c r="M134" s="17"/>
    </row>
    <row r="135" spans="8:14">
      <c r="H135" s="17"/>
      <c r="J135" s="7"/>
      <c r="M135" s="17"/>
    </row>
    <row r="136" spans="8:14">
      <c r="H136" s="17"/>
      <c r="J136" s="7"/>
      <c r="M136" s="17"/>
    </row>
    <row r="137" spans="8:14">
      <c r="H137" s="17"/>
      <c r="J137" s="7"/>
      <c r="M137" s="17"/>
    </row>
    <row r="138" spans="8:14">
      <c r="H138" s="17"/>
      <c r="J138" s="7"/>
      <c r="M138" s="17"/>
    </row>
    <row r="139" spans="8:14">
      <c r="H139" s="17"/>
      <c r="J139" s="7"/>
      <c r="M139" s="17"/>
    </row>
    <row r="140" spans="8:14">
      <c r="H140" s="17"/>
      <c r="J140" s="7"/>
      <c r="M140" s="17"/>
    </row>
    <row r="141" spans="8:14">
      <c r="H141" s="17"/>
      <c r="J141" s="7"/>
      <c r="M141" s="17"/>
    </row>
    <row r="142" spans="8:14">
      <c r="H142" s="18"/>
      <c r="J142" s="7"/>
      <c r="M142" s="18"/>
    </row>
    <row r="143" spans="8:14">
      <c r="H143" s="19"/>
      <c r="I143" s="19"/>
      <c r="J143" s="20"/>
      <c r="M143" s="19"/>
      <c r="N143" s="19"/>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587B9-0CDE-4172-93C0-752E12A5DD95}">
  <dimension ref="A2:O14"/>
  <sheetViews>
    <sheetView topLeftCell="B1" workbookViewId="0">
      <selection activeCell="A85" sqref="A85"/>
    </sheetView>
  </sheetViews>
  <sheetFormatPr defaultRowHeight="14"/>
  <cols>
    <col min="1" max="1" width="14.08203125" bestFit="1" customWidth="1"/>
    <col min="2" max="2" width="15.58203125" bestFit="1" customWidth="1"/>
    <col min="3" max="4" width="6.9140625" bestFit="1" customWidth="1"/>
    <col min="5" max="5" width="5.9140625" bestFit="1" customWidth="1"/>
    <col min="6" max="6" width="10.83203125" bestFit="1" customWidth="1"/>
    <col min="10" max="10" width="11.1640625" customWidth="1"/>
    <col min="11" max="11" width="7.9140625" customWidth="1"/>
    <col min="12" max="13" width="7.6640625" customWidth="1"/>
    <col min="14" max="14" width="7.5" customWidth="1"/>
  </cols>
  <sheetData>
    <row r="2" spans="1:15">
      <c r="J2" t="s">
        <v>2546</v>
      </c>
    </row>
    <row r="3" spans="1:15" ht="14.5" thickBot="1">
      <c r="A3" s="9" t="s">
        <v>2536</v>
      </c>
      <c r="B3" s="9" t="s">
        <v>2545</v>
      </c>
    </row>
    <row r="4" spans="1:15" ht="18.5" customHeight="1" thickTop="1" thickBot="1">
      <c r="A4" s="9" t="s">
        <v>2543</v>
      </c>
      <c r="C4" t="s">
        <v>27</v>
      </c>
      <c r="D4" t="s">
        <v>23</v>
      </c>
      <c r="E4" t="s">
        <v>89</v>
      </c>
      <c r="F4" t="s">
        <v>2544</v>
      </c>
      <c r="J4" s="16"/>
      <c r="K4" s="15" t="s">
        <v>27</v>
      </c>
      <c r="L4" s="15" t="str">
        <f t="shared" ref="L4:M4" si="0">D4</f>
        <v>M</v>
      </c>
      <c r="M4" s="15" t="str">
        <f t="shared" si="0"/>
        <v>O</v>
      </c>
      <c r="N4" s="15" t="s">
        <v>2547</v>
      </c>
    </row>
    <row r="5" spans="1:15" ht="19" customHeight="1" thickTop="1" thickBot="1">
      <c r="A5" s="10" t="s">
        <v>18</v>
      </c>
      <c r="B5" s="12">
        <v>3.0599220547662797E-2</v>
      </c>
      <c r="C5" s="12">
        <v>0.18961825201634841</v>
      </c>
      <c r="D5" s="12">
        <v>0.12262322351336576</v>
      </c>
      <c r="E5" s="12">
        <v>1.060537752469185E-2</v>
      </c>
      <c r="F5" s="12">
        <v>0.35344607360206887</v>
      </c>
      <c r="J5" s="16" t="str">
        <f>A5</f>
        <v>App</v>
      </c>
      <c r="K5" s="15">
        <f t="shared" ref="K5:M9" si="1">C5</f>
        <v>0.18961825201634841</v>
      </c>
      <c r="L5" s="15">
        <f t="shared" si="1"/>
        <v>0.12262322351336576</v>
      </c>
      <c r="M5" s="15">
        <f t="shared" si="1"/>
        <v>1.060537752469185E-2</v>
      </c>
      <c r="N5" s="15">
        <f>B5</f>
        <v>3.0599220547662797E-2</v>
      </c>
    </row>
    <row r="6" spans="1:15" ht="19" customHeight="1" thickTop="1" thickBot="1">
      <c r="A6" s="10" t="s">
        <v>51</v>
      </c>
      <c r="B6" s="12">
        <v>1.7794988689097006E-2</v>
      </c>
      <c r="C6" s="12">
        <v>5.0283982091147303E-2</v>
      </c>
      <c r="D6" s="12">
        <v>4.3060781812819873E-2</v>
      </c>
      <c r="E6" s="12">
        <v>1.5320025675641944E-3</v>
      </c>
      <c r="F6" s="12">
        <v>0.11267175516062837</v>
      </c>
      <c r="J6" s="16" t="str">
        <f>A6</f>
        <v>Instagram</v>
      </c>
      <c r="K6" s="15">
        <f t="shared" si="1"/>
        <v>5.0283982091147303E-2</v>
      </c>
      <c r="L6" s="15">
        <f t="shared" si="1"/>
        <v>4.3060781812819873E-2</v>
      </c>
      <c r="M6" s="15">
        <f t="shared" si="1"/>
        <v>1.5320025675641944E-3</v>
      </c>
      <c r="N6" s="15">
        <f>B6</f>
        <v>1.7794988689097006E-2</v>
      </c>
    </row>
    <row r="7" spans="1:15" ht="21" customHeight="1" thickTop="1" thickBot="1">
      <c r="A7" s="10" t="s">
        <v>70</v>
      </c>
      <c r="B7" s="12">
        <v>3.8927934093844286E-3</v>
      </c>
      <c r="C7" s="12">
        <v>6.3496059750411282E-2</v>
      </c>
      <c r="D7" s="12">
        <v>4.6071629863988765E-2</v>
      </c>
      <c r="E7" s="12">
        <v>2.306247051322625E-3</v>
      </c>
      <c r="F7" s="12">
        <v>0.11576673007510711</v>
      </c>
      <c r="J7" s="16" t="str">
        <f>A7</f>
        <v>Partner App</v>
      </c>
      <c r="K7" s="15">
        <f t="shared" si="1"/>
        <v>6.3496059750411282E-2</v>
      </c>
      <c r="L7" s="15">
        <f t="shared" si="1"/>
        <v>4.6071629863988765E-2</v>
      </c>
      <c r="M7" s="15">
        <f t="shared" si="1"/>
        <v>2.306247051322625E-3</v>
      </c>
      <c r="N7" s="15">
        <f>B7</f>
        <v>3.8927934093844286E-3</v>
      </c>
    </row>
    <row r="8" spans="1:15" ht="21" customHeight="1" thickTop="1" thickBot="1">
      <c r="A8" s="10" t="s">
        <v>40</v>
      </c>
      <c r="B8" s="12">
        <v>1.2933041488102518E-2</v>
      </c>
      <c r="C8" s="12">
        <v>9.6337892927149532E-2</v>
      </c>
      <c r="D8" s="12">
        <v>6.7920115842382611E-2</v>
      </c>
      <c r="E8" s="12">
        <v>5.4979832664581261E-3</v>
      </c>
      <c r="F8" s="12">
        <v>0.1826890335240928</v>
      </c>
      <c r="J8" s="16" t="str">
        <f>A8</f>
        <v>Target.com</v>
      </c>
      <c r="K8" s="15">
        <f t="shared" si="1"/>
        <v>9.6337892927149532E-2</v>
      </c>
      <c r="L8" s="15">
        <f t="shared" si="1"/>
        <v>6.7920115842382611E-2</v>
      </c>
      <c r="M8" s="15">
        <f t="shared" si="1"/>
        <v>5.4979832664581261E-3</v>
      </c>
      <c r="N8" s="15">
        <f>B8</f>
        <v>1.2933041488102518E-2</v>
      </c>
    </row>
    <row r="9" spans="1:15" ht="20" customHeight="1" thickTop="1" thickBot="1">
      <c r="A9" s="10" t="s">
        <v>35</v>
      </c>
      <c r="B9" s="12">
        <v>1.2408404181197551E-2</v>
      </c>
      <c r="C9" s="12">
        <v>0.12522098709469262</v>
      </c>
      <c r="D9" s="12">
        <v>9.1492740283116228E-2</v>
      </c>
      <c r="E9" s="12">
        <v>6.3042760790965081E-3</v>
      </c>
      <c r="F9" s="12">
        <v>0.23542640763810294</v>
      </c>
      <c r="J9" s="16" t="str">
        <f>A9</f>
        <v>Website</v>
      </c>
      <c r="K9" s="15">
        <f t="shared" si="1"/>
        <v>0.12522098709469262</v>
      </c>
      <c r="L9" s="15">
        <f t="shared" si="1"/>
        <v>9.1492740283116228E-2</v>
      </c>
      <c r="M9" s="15">
        <f t="shared" si="1"/>
        <v>6.3042760790965081E-3</v>
      </c>
      <c r="N9" s="15">
        <f>B9</f>
        <v>1.2408404181197551E-2</v>
      </c>
    </row>
    <row r="10" spans="1:15" ht="14.5" thickTop="1">
      <c r="A10" s="10" t="s">
        <v>2544</v>
      </c>
      <c r="B10" s="12">
        <v>7.7628448315444312E-2</v>
      </c>
      <c r="C10" s="12">
        <v>0.52495717387974916</v>
      </c>
      <c r="D10" s="12">
        <v>0.3711684913156732</v>
      </c>
      <c r="E10" s="12">
        <v>2.6245886489133303E-2</v>
      </c>
      <c r="F10" s="12">
        <v>1</v>
      </c>
    </row>
    <row r="12" spans="1:15">
      <c r="N12" s="14"/>
    </row>
    <row r="14" spans="1:15">
      <c r="O14" s="13"/>
    </row>
  </sheetData>
  <conditionalFormatting sqref="K4:N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F1" zoomScale="67" workbookViewId="0">
      <selection activeCell="H1" sqref="H1"/>
    </sheetView>
  </sheetViews>
  <sheetFormatPr defaultRowHeight="14"/>
  <cols>
    <col min="2" max="2" width="19.08203125" bestFit="1" customWidth="1"/>
    <col min="3" max="3" width="10.83203125" customWidth="1"/>
    <col min="4" max="4" width="11.58203125" customWidth="1"/>
    <col min="5" max="5" width="11.1640625" customWidth="1"/>
    <col min="6" max="6" width="13.08203125" customWidth="1"/>
    <col min="7" max="7" width="13.4140625"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7"/>
  <sheetViews>
    <sheetView workbookViewId="0">
      <selection activeCell="B15" sqref="B15"/>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workbookViewId="0">
      <selection activeCell="E28" sqref="E28"/>
    </sheetView>
  </sheetViews>
  <sheetFormatPr defaultRowHeight="14"/>
  <cols>
    <col min="1" max="1" width="3.33203125" customWidth="1"/>
    <col min="8" max="8" width="37.33203125" customWidth="1"/>
  </cols>
  <sheetData>
    <row r="3" spans="2:8">
      <c r="B3" t="s">
        <v>2517</v>
      </c>
    </row>
    <row r="4" spans="2:8">
      <c r="H4" s="6"/>
    </row>
    <row r="5" spans="2:8">
      <c r="H5" s="6"/>
    </row>
    <row r="7" spans="2:8">
      <c r="B7" t="s">
        <v>2518</v>
      </c>
    </row>
    <row r="8" spans="2:8">
      <c r="B8" t="s">
        <v>2519</v>
      </c>
    </row>
    <row r="9" spans="2:8">
      <c r="B9" t="s">
        <v>2520</v>
      </c>
    </row>
    <row r="10" spans="2:8">
      <c r="B10" t="s">
        <v>2521</v>
      </c>
    </row>
    <row r="11" spans="2:8">
      <c r="B11" t="s">
        <v>2522</v>
      </c>
    </row>
    <row r="12" spans="2:8">
      <c r="B12" t="s">
        <v>2523</v>
      </c>
    </row>
    <row r="14" spans="2:8">
      <c r="C14" t="s">
        <v>2524</v>
      </c>
    </row>
    <row r="15" spans="2:8">
      <c r="B15" t="s">
        <v>2527</v>
      </c>
      <c r="C15" t="s">
        <v>2</v>
      </c>
    </row>
    <row r="16" spans="2:8">
      <c r="B16" t="s">
        <v>2528</v>
      </c>
      <c r="C16" t="s">
        <v>4</v>
      </c>
    </row>
    <row r="17" spans="2:3">
      <c r="B17" t="s">
        <v>2530</v>
      </c>
      <c r="C17" t="s">
        <v>2525</v>
      </c>
    </row>
    <row r="18" spans="2:3">
      <c r="B18" s="5" t="s">
        <v>2532</v>
      </c>
      <c r="C18" t="s">
        <v>2526</v>
      </c>
    </row>
    <row r="22" spans="2:3">
      <c r="C22" t="s">
        <v>2529</v>
      </c>
    </row>
    <row r="23" spans="2:3">
      <c r="C23" t="s">
        <v>2531</v>
      </c>
    </row>
    <row r="24" spans="2:3">
      <c r="C24" t="s">
        <v>2533</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Dashboard</vt:lpstr>
      <vt:lpstr>Pivots</vt:lpstr>
      <vt:lpstr>Sheet3</vt:lpstr>
      <vt:lpstr>Data</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USER</cp:lastModifiedBy>
  <dcterms:created xsi:type="dcterms:W3CDTF">2025-06-13T02:42:26Z</dcterms:created>
  <dcterms:modified xsi:type="dcterms:W3CDTF">2025-12-10T12:27:34Z</dcterms:modified>
</cp:coreProperties>
</file>